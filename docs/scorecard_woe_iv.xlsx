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otes" sheetId="1" state="visible" r:id="rId3"/>
    <sheet name="IV ranking" sheetId="2" state="visible" r:id="rId4"/>
    <sheet name="WoE detail" sheetId="3" state="visible" r:id="rId5"/>
    <sheet name="Spli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<sst xmlns="http://schemas.openxmlformats.org/spreadsheetml/2006/main" count="248" uniqueCount="139">
  <si>
    <t xml:space="preserve">Olist seller risk scorecard - WoE / IV screening</t>
  </si>
  <si>
    <t xml:space="preserve">Generated from main_marts.fct_seller_snapshots. Fitted on the TRAINING period only.</t>
  </si>
  <si>
    <t xml:space="preserve">What this measures</t>
  </si>
  <si>
    <t xml:space="preserve">Each feature is split into bins. For every bin we compare the share of all GOOD seller-snapshots that fall in it against the share of all BAD ones. Weight of Evidence is the log of that ratio.</t>
  </si>
  <si>
    <t xml:space="preserve">Positive WoE = goods over-represented = lower risk. Negative = higher risk. Zero = the bin says nothing.</t>
  </si>
  <si>
    <t xml:space="preserve">Information Value sums those differences into one number per feature, so features can be ranked.</t>
  </si>
  <si>
    <t xml:space="preserve">Formulas (live in the WoE detail sheet)</t>
  </si>
  <si>
    <t xml:space="preserve">pct_good = (good + s) / (total good + s x bins)        s = Laplace smoothing, cell B1</t>
  </si>
  <si>
    <t xml:space="preserve">pct_bad  = (bad  + s) / (total bad  + s x bins)</t>
  </si>
  <si>
    <t xml:space="preserve">WoE      = LN(pct_good / pct_bad)</t>
  </si>
  <si>
    <t xml:space="preserve">IV part  = (pct_good - pct_bad) x WoE        IV = sum of the parts</t>
  </si>
  <si>
    <t xml:space="preserve">Smoothing adds half a count to each cell so a bin with zero bads gives a large finite WoE rather than infinity. Change it in WoE detail!B1 and everything recalculates.</t>
  </si>
  <si>
    <t xml:space="preserve">Reading the Information Value</t>
  </si>
  <si>
    <t xml:space="preserve">under 0.02</t>
  </si>
  <si>
    <t xml:space="preserve">useless - drop it</t>
  </si>
  <si>
    <t xml:space="preserve">0.02 - 0.10</t>
  </si>
  <si>
    <t xml:space="preserve">weak</t>
  </si>
  <si>
    <t xml:space="preserve">0.10 - 0.30</t>
  </si>
  <si>
    <t xml:space="preserve">medium</t>
  </si>
  <si>
    <t xml:space="preserve">0.30 - 0.50</t>
  </si>
  <si>
    <t xml:space="preserve">strong</t>
  </si>
  <si>
    <t xml:space="preserve">over 0.50</t>
  </si>
  <si>
    <t xml:space="preserve">SUSPECT - go looking for a leak</t>
  </si>
  <si>
    <t xml:space="preserve">1. Nothing scores above 0.5. That is the leakage check passing. A feature that predicts the future too well usually contains the future.</t>
  </si>
  <si>
    <t xml:space="preserve">2. Past lateness is the anchor and it is monotone: more late before, more late after.</t>
  </si>
  <si>
    <t xml:space="preserve">3. State here is the SELLER's state, not the customer's. Sao Paulo sellers are the riskiest group, which does not contradict the D5 finding that Sao Paulo CUSTOMERS are among the best served - they are different entities.</t>
  </si>
  <si>
    <t xml:space="preserve">Monotonicity is computed in Python (scripts/scorecard.py, is_monotone, tolerance 0.02) and entered here as text; it is not derived by a formula in this workbook.</t>
  </si>
  <si>
    <t xml:space="preserve">Information Value by feature</t>
  </si>
  <si>
    <t xml:space="preserve">Training period only (Jun 2017 - Jan 2018, 2,666 rows, 32.9% bad). IV and bin count are live formulas over the WoE detail sheet.</t>
  </si>
  <si>
    <t xml:space="preserve">feature</t>
  </si>
  <si>
    <t xml:space="preserve">IV</t>
  </si>
  <si>
    <t xml:space="preserve">strength</t>
  </si>
  <si>
    <t xml:space="preserve">bins</t>
  </si>
  <si>
    <t xml:space="preserve">monotone WoE</t>
  </si>
  <si>
    <t xml:space="preserve">what it is</t>
  </si>
  <si>
    <t xml:space="preserve">obs_late_rate</t>
  </si>
  <si>
    <t xml:space="preserve">yes</t>
  </si>
  <si>
    <t xml:space="preserve">Share of delivered orders arriving after the promised date, over the 6-month observation window.</t>
  </si>
  <si>
    <t xml:space="preserve">state</t>
  </si>
  <si>
    <t xml:space="preserve">n/a (categorical)</t>
  </si>
  <si>
    <t xml:space="preserve">Seller's state (dim_sellers), NOT the customer's state. SP sellers ship long-haul nationwide.</t>
  </si>
  <si>
    <t xml:space="preserve">obs_avg_review</t>
  </si>
  <si>
    <t xml:space="preserve">Review-count-weighted average review score over the window.</t>
  </si>
  <si>
    <t xml:space="preserve">tenure_months</t>
  </si>
  <si>
    <t xml:space="preserve">no</t>
  </si>
  <si>
    <t xml:space="preserve">Months between the seller's first trading month and the snapshot.</t>
  </si>
  <si>
    <t xml:space="preserve">obs_aov</t>
  </si>
  <si>
    <t xml:space="preserve">Observation-window revenue divided by orders.</t>
  </si>
  <si>
    <t xml:space="preserve">obs_revenue</t>
  </si>
  <si>
    <t xml:space="preserve">Total revenue in the observation window.</t>
  </si>
  <si>
    <t xml:space="preserve">obs_items_per_order</t>
  </si>
  <si>
    <t xml:space="preserve">Items divided by orders in the observation window.</t>
  </si>
  <si>
    <t xml:space="preserve">obs_orders</t>
  </si>
  <si>
    <t xml:space="preserve">no (U-shaped)</t>
  </si>
  <si>
    <t xml:space="preserve">Order volume in the observation window. U-shaped: smallest and largest sellers both riskier.</t>
  </si>
  <si>
    <t xml:space="preserve">obs_active_months</t>
  </si>
  <si>
    <t xml:space="preserve">Months traded out of 6. Near-constant once 10+ orders of history is required.</t>
  </si>
  <si>
    <t xml:space="preserve">Laplace smoothing</t>
  </si>
  <si>
    <t xml:space="preserve">&lt;- editable; every WoE below recalculates from it</t>
  </si>
  <si>
    <t xml:space="preserve">type</t>
  </si>
  <si>
    <t xml:space="preserve">bin #</t>
  </si>
  <si>
    <t xml:space="preserve">bin</t>
  </si>
  <si>
    <t xml:space="preserve">n</t>
  </si>
  <si>
    <t xml:space="preserve">good</t>
  </si>
  <si>
    <t xml:space="preserve">bad</t>
  </si>
  <si>
    <t xml:space="preserve">bad rate</t>
  </si>
  <si>
    <t xml:space="preserve">% of all goods</t>
  </si>
  <si>
    <t xml:space="preserve">% of all bads</t>
  </si>
  <si>
    <t xml:space="preserve">WoE</t>
  </si>
  <si>
    <t xml:space="preserve">IV part</t>
  </si>
  <si>
    <t xml:space="preserve">numeric</t>
  </si>
  <si>
    <t xml:space="preserve">(-inf, 0.0217]</t>
  </si>
  <si>
    <t xml:space="preserve">(0.0217, 0.0435]</t>
  </si>
  <si>
    <t xml:space="preserve">(0.0435, 0.0789]</t>
  </si>
  <si>
    <t xml:space="preserve">(0.0789, inf]</t>
  </si>
  <si>
    <t xml:space="preserve">categorical</t>
  </si>
  <si>
    <t xml:space="preserve">SP</t>
  </si>
  <si>
    <t xml:space="preserve">RJ</t>
  </si>
  <si>
    <t xml:space="preserve">MG</t>
  </si>
  <si>
    <t xml:space="preserve">PR</t>
  </si>
  <si>
    <t xml:space="preserve">OTHER</t>
  </si>
  <si>
    <t xml:space="preserve">SC</t>
  </si>
  <si>
    <t xml:space="preserve">RS</t>
  </si>
  <si>
    <t xml:space="preserve">(-inf, 3.917]</t>
  </si>
  <si>
    <t xml:space="preserve">(3.917, 4.118]</t>
  </si>
  <si>
    <t xml:space="preserve">(4.118, 4.273]</t>
  </si>
  <si>
    <t xml:space="preserve">(4.273, 4.45]</t>
  </si>
  <si>
    <t xml:space="preserve">(4.45, inf]</t>
  </si>
  <si>
    <t xml:space="preserve">(-inf, 4.0]</t>
  </si>
  <si>
    <t xml:space="preserve">(4.0, 5.0]</t>
  </si>
  <si>
    <t xml:space="preserve">(5.0, 8.0]</t>
  </si>
  <si>
    <t xml:space="preserve">(8.0, 10.0]</t>
  </si>
  <si>
    <t xml:space="preserve">(10.0, inf]</t>
  </si>
  <si>
    <t xml:space="preserve">(-inf, 75.514]</t>
  </si>
  <si>
    <t xml:space="preserve">(75.514, 103.914]</t>
  </si>
  <si>
    <t xml:space="preserve">(103.914, 139.238]</t>
  </si>
  <si>
    <t xml:space="preserve">(139.238, 195.643]</t>
  </si>
  <si>
    <t xml:space="preserve">(195.643, inf]</t>
  </si>
  <si>
    <t xml:space="preserve">(-inf, 1801.84]</t>
  </si>
  <si>
    <t xml:space="preserve">(1801.84, 3031.5]</t>
  </si>
  <si>
    <t xml:space="preserve">(3031.5, 5256.13]</t>
  </si>
  <si>
    <t xml:space="preserve">(5256.13, 10284.84]</t>
  </si>
  <si>
    <t xml:space="preserve">(10284.84, inf]</t>
  </si>
  <si>
    <t xml:space="preserve">(-inf, 1.059]</t>
  </si>
  <si>
    <t xml:space="preserve">(1.059, 1.103]</t>
  </si>
  <si>
    <t xml:space="preserve">(1.103, 1.205]</t>
  </si>
  <si>
    <t xml:space="preserve">(1.205, inf]</t>
  </si>
  <si>
    <t xml:space="preserve">(-inf, 16.0]</t>
  </si>
  <si>
    <t xml:space="preserve">(16.0, 25.0]</t>
  </si>
  <si>
    <t xml:space="preserve">(25.0, 38.0]</t>
  </si>
  <si>
    <t xml:space="preserve">(38.0, 73.0]</t>
  </si>
  <si>
    <t xml:space="preserve">(73.0, inf]</t>
  </si>
  <si>
    <t xml:space="preserve">(5.0, inf]</t>
  </si>
  <si>
    <t xml:space="preserve">Out-of-time split</t>
  </si>
  <si>
    <t xml:space="preserve">Cut by date, not at random: a random split would test the model on months it had already seen, put the same seller on both sides, and average away the regime change.</t>
  </si>
  <si>
    <t xml:space="preserve">split</t>
  </si>
  <si>
    <t xml:space="preserve">rows</t>
  </si>
  <si>
    <t xml:space="preserve">distinct sellers</t>
  </si>
  <si>
    <t xml:space="preserve">snapshots</t>
  </si>
  <si>
    <t xml:space="preserve">bads</t>
  </si>
  <si>
    <t xml:space="preserve">train</t>
  </si>
  <si>
    <t xml:space="preserve">test</t>
  </si>
  <si>
    <t xml:space="preserve">total</t>
  </si>
  <si>
    <t xml:space="preserve">Note: sellers do not sum - 434 sellers appear in both periods, which is realistic but is a route for optimism in the test score. Flagged for the leakage audit.</t>
  </si>
  <si>
    <t xml:space="preserve">Bad rate by snapshot</t>
  </si>
  <si>
    <t xml:space="preserve">The label depends enormously on WHEN you look. The Dec 2017 snapshot's outcome window is Jan-Mar 2018 - the Black Friday backlog and the delivery crisis.</t>
  </si>
  <si>
    <t xml:space="preserve">snapshot</t>
  </si>
  <si>
    <t xml:space="preserve">2017-06-01</t>
  </si>
  <si>
    <t xml:space="preserve">2017-07-01</t>
  </si>
  <si>
    <t xml:space="preserve">2017-08-01</t>
  </si>
  <si>
    <t xml:space="preserve">2017-09-01</t>
  </si>
  <si>
    <t xml:space="preserve">2017-10-01</t>
  </si>
  <si>
    <t xml:space="preserve">2017-11-01</t>
  </si>
  <si>
    <t xml:space="preserve">2017-12-01</t>
  </si>
  <si>
    <t xml:space="preserve">2018-01-01</t>
  </si>
  <si>
    <t xml:space="preserve">2018-02-01</t>
  </si>
  <si>
    <t xml:space="preserve">2018-03-01</t>
  </si>
  <si>
    <t xml:space="preserve">2018-04-01</t>
  </si>
  <si>
    <t xml:space="preserve">2018-05-01</t>
  </si>
</sst>
</file>

<file path=xl/styles.xml><?xml version="1.0" encoding="utf-8"?>
<styleSheet xmlns="http://schemas.openxmlformats.org/spreadsheetml/2006/main">
  <numFmts count="4">
    <numFmt numFmtId="164" formatCode="General"/>
    <numFmt numFmtId="165" formatCode="0.000"/>
    <numFmt numFmtId="166" formatCode="0.0%"/>
    <numFmt numFmtId="167" formatCode="0.0000"/>
  </numFmts>
  <fonts count="12">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55555"/>
      <name val="Arial"/>
      <family val="0"/>
      <charset val="1"/>
    </font>
    <font>
      <b val="true"/>
      <sz val="11"/>
      <color rgb="FF2E5077"/>
      <name val="Arial"/>
      <family val="0"/>
      <charset val="1"/>
    </font>
    <font>
      <sz val="10"/>
      <name val="Arial"/>
      <family val="0"/>
      <charset val="1"/>
    </font>
    <font>
      <sz val="9"/>
      <name val="Courier New"/>
      <family val="0"/>
      <charset val="1"/>
    </font>
    <font>
      <b val="true"/>
      <sz val="10"/>
      <color rgb="FFFFFFFF"/>
      <name val="Arial"/>
      <family val="0"/>
      <charset val="1"/>
    </font>
    <font>
      <b val="true"/>
      <sz val="10"/>
      <name val="Arial"/>
      <family val="0"/>
      <charset val="1"/>
    </font>
    <font>
      <b val="true"/>
      <sz val="10"/>
      <color rgb="FF0000FF"/>
      <name val="Arial"/>
      <family val="0"/>
      <charset val="1"/>
    </font>
  </fonts>
  <fills count="5">
    <fill>
      <patternFill patternType="none"/>
    </fill>
    <fill>
      <patternFill patternType="gray125"/>
    </fill>
    <fill>
      <patternFill patternType="solid">
        <fgColor rgb="FFFFF3CD"/>
        <bgColor rgb="FFF2F5F8"/>
      </patternFill>
    </fill>
    <fill>
      <patternFill patternType="solid">
        <fgColor rgb="FF1F3864"/>
        <bgColor rgb="FF333333"/>
      </patternFill>
    </fill>
    <fill>
      <patternFill patternType="solid">
        <fgColor rgb="FFF2F5F8"/>
        <bgColor rgb="FFFFFFFF"/>
      </patternFill>
    </fill>
  </fills>
  <borders count="2">
    <border diagonalUp="false" diagonalDown="false">
      <left/>
      <right/>
      <top/>
      <bottom/>
      <diagonal/>
    </border>
    <border diagonalUp="false" diagonalDown="false">
      <left/>
      <right/>
      <top/>
      <bottom style="thin">
        <color rgb="FFA6B3C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center" vertical="bottom" textRotation="0" wrapText="tru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5" fontId="7" fillId="4"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center" vertical="bottom" textRotation="0" wrapText="false" indent="0" shrinkToFit="false"/>
      <protection locked="true" hidden="false"/>
    </xf>
    <xf numFmtId="166" fontId="7" fillId="4"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6B3C2"/>
      <rgbColor rgb="FF808080"/>
      <rgbColor rgb="FF9999FF"/>
      <rgbColor rgb="FF993366"/>
      <rgbColor rgb="FFFFF3CD"/>
      <rgbColor rgb="FFF2F5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2E507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04"/>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23.85" hidden="false" customHeight="false" outlineLevel="0" collapsed="false">
      <c r="B5" s="4" t="s">
        <v>3</v>
      </c>
    </row>
    <row r="6" customFormat="false" ht="15" hidden="false" customHeight="false" outlineLevel="0" collapsed="false">
      <c r="B6" s="4" t="s">
        <v>4</v>
      </c>
    </row>
    <row r="7" customFormat="false" ht="15" hidden="false" customHeight="false" outlineLevel="0" collapsed="false">
      <c r="B7" s="4" t="s">
        <v>5</v>
      </c>
    </row>
    <row r="9" customFormat="false" ht="15" hidden="false" customHeight="false" outlineLevel="0" collapsed="false">
      <c r="A9" s="3" t="s">
        <v>6</v>
      </c>
    </row>
    <row r="10" customFormat="false" ht="15" hidden="false" customHeight="false" outlineLevel="0" collapsed="false">
      <c r="B10" s="5" t="s">
        <v>7</v>
      </c>
    </row>
    <row r="11" customFormat="false" ht="15" hidden="false" customHeight="false" outlineLevel="0" collapsed="false">
      <c r="B11" s="5" t="s">
        <v>8</v>
      </c>
    </row>
    <row r="12" customFormat="false" ht="15" hidden="false" customHeight="false" outlineLevel="0" collapsed="false">
      <c r="B12" s="5" t="s">
        <v>9</v>
      </c>
    </row>
    <row r="13" customFormat="false" ht="15" hidden="false" customHeight="false" outlineLevel="0" collapsed="false">
      <c r="B13" s="5" t="s">
        <v>10</v>
      </c>
    </row>
    <row r="14" customFormat="false" ht="23.85" hidden="false" customHeight="false" outlineLevel="0" collapsed="false">
      <c r="B14" s="4" t="s">
        <v>11</v>
      </c>
    </row>
    <row r="16" customFormat="false" ht="15" hidden="false" customHeight="false" outlineLevel="0" collapsed="false">
      <c r="A16" s="3" t="s">
        <v>12</v>
      </c>
    </row>
    <row r="21" customFormat="false" ht="15" hidden="false" customHeight="false" outlineLevel="0" collapsed="false">
      <c r="A21" s="6" t="s">
        <v>13</v>
      </c>
      <c r="B21" s="6" t="s">
        <v>14</v>
      </c>
    </row>
    <row r="22" customFormat="false" ht="15" hidden="false" customHeight="false" outlineLevel="0" collapsed="false">
      <c r="A22" s="6" t="s">
        <v>15</v>
      </c>
      <c r="B22" s="6" t="s">
        <v>16</v>
      </c>
    </row>
    <row r="23" customFormat="false" ht="15" hidden="false" customHeight="false" outlineLevel="0" collapsed="false">
      <c r="A23" s="6" t="s">
        <v>17</v>
      </c>
      <c r="B23" s="4" t="s">
        <v>18</v>
      </c>
    </row>
    <row r="24" customFormat="false" ht="15" hidden="false" customHeight="false" outlineLevel="0" collapsed="false">
      <c r="A24" s="6" t="s">
        <v>19</v>
      </c>
      <c r="B24" s="6" t="s">
        <v>20</v>
      </c>
    </row>
    <row r="25" customFormat="false" ht="15" hidden="false" customHeight="false" outlineLevel="0" collapsed="false">
      <c r="A25" s="7" t="s">
        <v>21</v>
      </c>
      <c r="B25" s="7" t="s">
        <v>22</v>
      </c>
    </row>
    <row r="26" customFormat="false" ht="23.85" hidden="false" customHeight="false" outlineLevel="0" collapsed="false">
      <c r="B26" s="4" t="s">
        <v>23</v>
      </c>
    </row>
    <row r="27" customFormat="false" ht="15" hidden="false" customHeight="false" outlineLevel="0" collapsed="false">
      <c r="B27" s="4" t="s">
        <v>24</v>
      </c>
    </row>
    <row r="28" customFormat="false" ht="23.85" hidden="false" customHeight="false" outlineLevel="0" collapsed="false">
      <c r="B28" s="4" t="s">
        <v>25</v>
      </c>
    </row>
    <row r="30" customFormat="false" ht="15" hidden="false" customHeight="false" outlineLevel="0" collapsed="false">
      <c r="A30" s="2" t="s">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9"/>
    <col collapsed="false" customWidth="true" hidden="false" outlineLevel="0" max="3" min="3" style="0" width="10"/>
    <col collapsed="false" customWidth="true" hidden="false" outlineLevel="0" max="4" min="4" style="0" width="7"/>
    <col collapsed="false" customWidth="true" hidden="false" outlineLevel="0" max="5" min="5" style="0" width="17"/>
    <col collapsed="false" customWidth="true" hidden="false" outlineLevel="0" max="6" min="6" style="0" width="78"/>
  </cols>
  <sheetData>
    <row r="1" customFormat="false" ht="17.35" hidden="false" customHeight="false" outlineLevel="0" collapsed="false">
      <c r="A1" s="1" t="s">
        <v>27</v>
      </c>
    </row>
    <row r="2" customFormat="false" ht="15" hidden="false" customHeight="false" outlineLevel="0" collapsed="false">
      <c r="A2" s="2" t="s">
        <v>28</v>
      </c>
    </row>
    <row r="4" customFormat="false" ht="15" hidden="false" customHeight="false" outlineLevel="0" collapsed="false">
      <c r="A4" s="8" t="s">
        <v>29</v>
      </c>
      <c r="B4" s="8" t="s">
        <v>30</v>
      </c>
      <c r="C4" s="8" t="s">
        <v>31</v>
      </c>
      <c r="D4" s="8" t="s">
        <v>32</v>
      </c>
      <c r="E4" s="8" t="s">
        <v>33</v>
      </c>
      <c r="F4" s="8" t="s">
        <v>34</v>
      </c>
    </row>
    <row r="5" customFormat="false" ht="15" hidden="false" customHeight="false" outlineLevel="0" collapsed="false">
      <c r="A5" s="6" t="s">
        <v>35</v>
      </c>
      <c r="B5" s="9" t="n">
        <f aca="false">SUMIFS('WoE detail'!$L$4:$L$46,'WoE detail'!$A$4:$A$46,$A5)</f>
        <v>0.189238306582407</v>
      </c>
      <c r="C5" s="6" t="str">
        <f aca="false">IF(B5&lt;0.02,"useless",IF(B5&lt;0.1,"weak",IF(B5&lt;0.3,"medium",IF(B5&lt;0.5,"strong","SUSPECT - check for leakage"))))</f>
        <v>medium</v>
      </c>
      <c r="D5" s="6" t="n">
        <f aca="false">COUNTIFS('WoE detail'!$A$4:$A$46,$A5)</f>
        <v>4</v>
      </c>
      <c r="E5" s="6" t="s">
        <v>36</v>
      </c>
      <c r="F5" s="4" t="s">
        <v>37</v>
      </c>
    </row>
    <row r="6" customFormat="false" ht="15" hidden="false" customHeight="false" outlineLevel="0" collapsed="false">
      <c r="A6" s="10" t="s">
        <v>38</v>
      </c>
      <c r="B6" s="11" t="n">
        <f aca="false">SUMIFS('WoE detail'!$L$4:$L$46,'WoE detail'!$A$4:$A$46,$A6)</f>
        <v>0.125988403202374</v>
      </c>
      <c r="C6" s="10" t="str">
        <f aca="false">IF(B6&lt;0.02,"useless",IF(B6&lt;0.1,"weak",IF(B6&lt;0.3,"medium",IF(B6&lt;0.5,"strong","SUSPECT - check for leakage"))))</f>
        <v>medium</v>
      </c>
      <c r="D6" s="10" t="n">
        <f aca="false">COUNTIFS('WoE detail'!$A$4:$A$46,$A6)</f>
        <v>7</v>
      </c>
      <c r="E6" s="10" t="s">
        <v>39</v>
      </c>
      <c r="F6" s="12" t="s">
        <v>40</v>
      </c>
    </row>
    <row r="7" customFormat="false" ht="15" hidden="false" customHeight="false" outlineLevel="0" collapsed="false">
      <c r="A7" s="6" t="s">
        <v>41</v>
      </c>
      <c r="B7" s="9" t="n">
        <f aca="false">SUMIFS('WoE detail'!$L$4:$L$46,'WoE detail'!$A$4:$A$46,$A7)</f>
        <v>0.0858260262102688</v>
      </c>
      <c r="C7" s="6" t="str">
        <f aca="false">IF(B7&lt;0.02,"useless",IF(B7&lt;0.1,"weak",IF(B7&lt;0.3,"medium",IF(B7&lt;0.5,"strong","SUSPECT - check for leakage"))))</f>
        <v>weak</v>
      </c>
      <c r="D7" s="6" t="n">
        <f aca="false">COUNTIFS('WoE detail'!$A$4:$A$46,$A7)</f>
        <v>5</v>
      </c>
      <c r="E7" s="6" t="s">
        <v>36</v>
      </c>
      <c r="F7" s="4" t="s">
        <v>42</v>
      </c>
    </row>
    <row r="8" customFormat="false" ht="15" hidden="false" customHeight="false" outlineLevel="0" collapsed="false">
      <c r="A8" s="10" t="s">
        <v>43</v>
      </c>
      <c r="B8" s="11" t="n">
        <f aca="false">SUMIFS('WoE detail'!$L$4:$L$46,'WoE detail'!$A$4:$A$46,$A8)</f>
        <v>0.0627662052236865</v>
      </c>
      <c r="C8" s="10" t="str">
        <f aca="false">IF(B8&lt;0.02,"useless",IF(B8&lt;0.1,"weak",IF(B8&lt;0.3,"medium",IF(B8&lt;0.5,"strong","SUSPECT - check for leakage"))))</f>
        <v>weak</v>
      </c>
      <c r="D8" s="10" t="n">
        <f aca="false">COUNTIFS('WoE detail'!$A$4:$A$46,$A8)</f>
        <v>5</v>
      </c>
      <c r="E8" s="10" t="s">
        <v>44</v>
      </c>
      <c r="F8" s="12" t="s">
        <v>45</v>
      </c>
    </row>
    <row r="9" customFormat="false" ht="15" hidden="false" customHeight="false" outlineLevel="0" collapsed="false">
      <c r="A9" s="6" t="s">
        <v>46</v>
      </c>
      <c r="B9" s="9" t="n">
        <f aca="false">SUMIFS('WoE detail'!$L$4:$L$46,'WoE detail'!$A$4:$A$46,$A9)</f>
        <v>0.0475270267983134</v>
      </c>
      <c r="C9" s="6" t="str">
        <f aca="false">IF(B9&lt;0.02,"useless",IF(B9&lt;0.1,"weak",IF(B9&lt;0.3,"medium",IF(B9&lt;0.5,"strong","SUSPECT - check for leakage"))))</f>
        <v>weak</v>
      </c>
      <c r="D9" s="6" t="n">
        <f aca="false">COUNTIFS('WoE detail'!$A$4:$A$46,$A9)</f>
        <v>5</v>
      </c>
      <c r="E9" s="6" t="s">
        <v>44</v>
      </c>
      <c r="F9" s="4" t="s">
        <v>47</v>
      </c>
    </row>
    <row r="10" customFormat="false" ht="15" hidden="false" customHeight="false" outlineLevel="0" collapsed="false">
      <c r="A10" s="10" t="s">
        <v>48</v>
      </c>
      <c r="B10" s="11" t="n">
        <f aca="false">SUMIFS('WoE detail'!$L$4:$L$46,'WoE detail'!$A$4:$A$46,$A10)</f>
        <v>0.0284098081779949</v>
      </c>
      <c r="C10" s="10" t="str">
        <f aca="false">IF(B10&lt;0.02,"useless",IF(B10&lt;0.1,"weak",IF(B10&lt;0.3,"medium",IF(B10&lt;0.5,"strong","SUSPECT - check for leakage"))))</f>
        <v>weak</v>
      </c>
      <c r="D10" s="10" t="n">
        <f aca="false">COUNTIFS('WoE detail'!$A$4:$A$46,$A10)</f>
        <v>5</v>
      </c>
      <c r="E10" s="10" t="s">
        <v>44</v>
      </c>
      <c r="F10" s="12" t="s">
        <v>49</v>
      </c>
    </row>
    <row r="11" customFormat="false" ht="15" hidden="false" customHeight="false" outlineLevel="0" collapsed="false">
      <c r="A11" s="6" t="s">
        <v>50</v>
      </c>
      <c r="B11" s="9" t="n">
        <f aca="false">SUMIFS('WoE detail'!$L$4:$L$46,'WoE detail'!$A$4:$A$46,$A11)</f>
        <v>0.0241450357423459</v>
      </c>
      <c r="C11" s="6" t="str">
        <f aca="false">IF(B11&lt;0.02,"useless",IF(B11&lt;0.1,"weak",IF(B11&lt;0.3,"medium",IF(B11&lt;0.5,"strong","SUSPECT - check for leakage"))))</f>
        <v>weak</v>
      </c>
      <c r="D11" s="6" t="n">
        <f aca="false">COUNTIFS('WoE detail'!$A$4:$A$46,$A11)</f>
        <v>4</v>
      </c>
      <c r="E11" s="6" t="s">
        <v>44</v>
      </c>
      <c r="F11" s="4" t="s">
        <v>51</v>
      </c>
    </row>
    <row r="12" customFormat="false" ht="15" hidden="false" customHeight="false" outlineLevel="0" collapsed="false">
      <c r="A12" s="10" t="s">
        <v>52</v>
      </c>
      <c r="B12" s="11" t="n">
        <f aca="false">SUMIFS('WoE detail'!$L$4:$L$46,'WoE detail'!$A$4:$A$46,$A12)</f>
        <v>0.0232771625407269</v>
      </c>
      <c r="C12" s="10" t="str">
        <f aca="false">IF(B12&lt;0.02,"useless",IF(B12&lt;0.1,"weak",IF(B12&lt;0.3,"medium",IF(B12&lt;0.5,"strong","SUSPECT - check for leakage"))))</f>
        <v>weak</v>
      </c>
      <c r="D12" s="10" t="n">
        <f aca="false">COUNTIFS('WoE detail'!$A$4:$A$46,$A12)</f>
        <v>5</v>
      </c>
      <c r="E12" s="10" t="s">
        <v>53</v>
      </c>
      <c r="F12" s="12" t="s">
        <v>54</v>
      </c>
    </row>
    <row r="13" customFormat="false" ht="15" hidden="false" customHeight="false" outlineLevel="0" collapsed="false">
      <c r="A13" s="6" t="s">
        <v>55</v>
      </c>
      <c r="B13" s="9" t="n">
        <f aca="false">SUMIFS('WoE detail'!$L$4:$L$46,'WoE detail'!$A$4:$A$46,$A13)</f>
        <v>0.00289531967892414</v>
      </c>
      <c r="C13" s="6" t="str">
        <f aca="false">IF(B13&lt;0.02,"useless",IF(B13&lt;0.1,"weak",IF(B13&lt;0.3,"medium",IF(B13&lt;0.5,"strong","SUSPECT - check for leakage"))))</f>
        <v>useless</v>
      </c>
      <c r="D13" s="6" t="n">
        <f aca="false">COUNTIFS('WoE detail'!$A$4:$A$46,$A13)</f>
        <v>3</v>
      </c>
      <c r="E13" s="6" t="s">
        <v>36</v>
      </c>
      <c r="F13" s="4" t="s">
        <v>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2"/>
    <col collapsed="false" customWidth="true" hidden="false" outlineLevel="0" max="3" min="3" style="0" width="7"/>
    <col collapsed="false" customWidth="true" hidden="false" outlineLevel="0" max="4" min="4" style="0" width="22"/>
    <col collapsed="false" customWidth="true" hidden="false" outlineLevel="0" max="7" min="5" style="0" width="8"/>
    <col collapsed="false" customWidth="true" hidden="false" outlineLevel="0" max="8" min="8" style="0" width="10"/>
    <col collapsed="false" customWidth="true" hidden="false" outlineLevel="0" max="10" min="9" style="0" width="14"/>
    <col collapsed="false" customWidth="true" hidden="false" outlineLevel="0" max="12" min="11" style="0" width="10"/>
  </cols>
  <sheetData>
    <row r="1" customFormat="false" ht="15" hidden="false" customHeight="false" outlineLevel="0" collapsed="false">
      <c r="A1" s="13" t="s">
        <v>57</v>
      </c>
      <c r="B1" s="14" t="n">
        <v>0.5</v>
      </c>
      <c r="C1" s="2" t="s">
        <v>58</v>
      </c>
    </row>
    <row r="3" customFormat="false" ht="15" hidden="false" customHeight="false" outlineLevel="0" collapsed="false">
      <c r="A3" s="8" t="s">
        <v>29</v>
      </c>
      <c r="B3" s="8" t="s">
        <v>59</v>
      </c>
      <c r="C3" s="8" t="s">
        <v>60</v>
      </c>
      <c r="D3" s="8" t="s">
        <v>61</v>
      </c>
      <c r="E3" s="8" t="s">
        <v>62</v>
      </c>
      <c r="F3" s="8" t="s">
        <v>63</v>
      </c>
      <c r="G3" s="8" t="s">
        <v>64</v>
      </c>
      <c r="H3" s="8" t="s">
        <v>65</v>
      </c>
      <c r="I3" s="8" t="s">
        <v>66</v>
      </c>
      <c r="J3" s="8" t="s">
        <v>67</v>
      </c>
      <c r="K3" s="8" t="s">
        <v>68</v>
      </c>
      <c r="L3" s="8" t="s">
        <v>69</v>
      </c>
    </row>
    <row r="4" customFormat="false" ht="15" hidden="false" customHeight="false" outlineLevel="0" collapsed="false">
      <c r="A4" s="6" t="s">
        <v>35</v>
      </c>
      <c r="B4" s="6" t="s">
        <v>70</v>
      </c>
      <c r="C4" s="6" t="n">
        <v>1</v>
      </c>
      <c r="D4" s="6" t="s">
        <v>71</v>
      </c>
      <c r="E4" s="6" t="n">
        <v>1067</v>
      </c>
      <c r="F4" s="6" t="n">
        <v>804</v>
      </c>
      <c r="G4" s="6" t="n">
        <v>263</v>
      </c>
      <c r="H4" s="15" t="n">
        <f aca="false">G4/E4</f>
        <v>0.246485473289597</v>
      </c>
      <c r="I4" s="15" t="n">
        <f aca="false">(F4+$B$1)/(SUMIFS($F$4:$F$46,$A$4:$A$46,$A4)+$B$1*COUNTIFS($A$4:$A$46,$A4))</f>
        <v>0.449441340782123</v>
      </c>
      <c r="J4" s="15" t="n">
        <f aca="false">(G4+$B$1)/(SUMIFS($G$4:$G$46,$A$4:$A$46,$A4)+$B$1*COUNTIFS($A$4:$A$46,$A4))</f>
        <v>0.299431818181818</v>
      </c>
      <c r="K4" s="16" t="n">
        <f aca="false">LN(I4/J4)</f>
        <v>0.406118607088472</v>
      </c>
      <c r="L4" s="16" t="n">
        <f aca="false">(I4-J4)*K4</f>
        <v>0.0609216583684424</v>
      </c>
    </row>
    <row r="5" customFormat="false" ht="15" hidden="false" customHeight="false" outlineLevel="0" collapsed="false">
      <c r="A5" s="6" t="s">
        <v>35</v>
      </c>
      <c r="B5" s="6" t="s">
        <v>70</v>
      </c>
      <c r="C5" s="6" t="n">
        <v>2</v>
      </c>
      <c r="D5" s="6" t="s">
        <v>72</v>
      </c>
      <c r="E5" s="6" t="n">
        <v>535</v>
      </c>
      <c r="F5" s="6" t="n">
        <v>370</v>
      </c>
      <c r="G5" s="6" t="n">
        <v>165</v>
      </c>
      <c r="H5" s="15" t="n">
        <f aca="false">G5/E5</f>
        <v>0.308411214953271</v>
      </c>
      <c r="I5" s="15" t="n">
        <f aca="false">(F5+$B$1)/(SUMIFS($F$4:$F$46,$A$4:$A$46,$A5)+$B$1*COUNTIFS($A$4:$A$46,$A5))</f>
        <v>0.206983240223464</v>
      </c>
      <c r="J5" s="15" t="n">
        <f aca="false">(G5+$B$1)/(SUMIFS($G$4:$G$46,$A$4:$A$46,$A5)+$B$1*COUNTIFS($A$4:$A$46,$A5))</f>
        <v>0.188068181818182</v>
      </c>
      <c r="K5" s="16" t="n">
        <f aca="false">LN(I5/J5)</f>
        <v>0.0958332585564755</v>
      </c>
      <c r="L5" s="16" t="n">
        <f aca="false">(I5-J5)*K5</f>
        <v>0.00181269168276421</v>
      </c>
    </row>
    <row r="6" customFormat="false" ht="15" hidden="false" customHeight="false" outlineLevel="0" collapsed="false">
      <c r="A6" s="6" t="s">
        <v>35</v>
      </c>
      <c r="B6" s="6" t="s">
        <v>70</v>
      </c>
      <c r="C6" s="6" t="n">
        <v>3</v>
      </c>
      <c r="D6" s="6" t="s">
        <v>73</v>
      </c>
      <c r="E6" s="6" t="n">
        <v>532</v>
      </c>
      <c r="F6" s="6" t="n">
        <v>355</v>
      </c>
      <c r="G6" s="6" t="n">
        <v>177</v>
      </c>
      <c r="H6" s="15" t="n">
        <f aca="false">G6/E6</f>
        <v>0.332706766917293</v>
      </c>
      <c r="I6" s="15" t="n">
        <f aca="false">(F6+$B$1)/(SUMIFS($F$4:$F$46,$A$4:$A$46,$A6)+$B$1*COUNTIFS($A$4:$A$46,$A6))</f>
        <v>0.198603351955307</v>
      </c>
      <c r="J6" s="15" t="n">
        <f aca="false">(G6+$B$1)/(SUMIFS($G$4:$G$46,$A$4:$A$46,$A6)+$B$1*COUNTIFS($A$4:$A$46,$A6))</f>
        <v>0.201704545454545</v>
      </c>
      <c r="K6" s="16" t="n">
        <f aca="false">LN(I6/J6)</f>
        <v>-0.0154943510347233</v>
      </c>
      <c r="L6" s="16" t="n">
        <f aca="false">(I6-J6)*K6</f>
        <v>4.80509807037984E-005</v>
      </c>
    </row>
    <row r="7" customFormat="false" ht="15" hidden="false" customHeight="false" outlineLevel="0" collapsed="false">
      <c r="A7" s="6" t="s">
        <v>35</v>
      </c>
      <c r="B7" s="6" t="s">
        <v>70</v>
      </c>
      <c r="C7" s="6" t="n">
        <v>4</v>
      </c>
      <c r="D7" s="6" t="s">
        <v>74</v>
      </c>
      <c r="E7" s="6" t="n">
        <v>532</v>
      </c>
      <c r="F7" s="6" t="n">
        <v>259</v>
      </c>
      <c r="G7" s="6" t="n">
        <v>273</v>
      </c>
      <c r="H7" s="15" t="n">
        <f aca="false">G7/E7</f>
        <v>0.513157894736842</v>
      </c>
      <c r="I7" s="15" t="n">
        <f aca="false">(F7+$B$1)/(SUMIFS($F$4:$F$46,$A$4:$A$46,$A7)+$B$1*COUNTIFS($A$4:$A$46,$A7))</f>
        <v>0.144972067039106</v>
      </c>
      <c r="J7" s="15" t="n">
        <f aca="false">(G7+$B$1)/(SUMIFS($G$4:$G$46,$A$4:$A$46,$A7)+$B$1*COUNTIFS($A$4:$A$46,$A7))</f>
        <v>0.310795454545455</v>
      </c>
      <c r="K7" s="16" t="n">
        <f aca="false">LN(I7/J7)</f>
        <v>-0.762593910618641</v>
      </c>
      <c r="L7" s="16" t="n">
        <f aca="false">(I7-J7)*K7</f>
        <v>0.126455905550497</v>
      </c>
    </row>
    <row r="8" customFormat="false" ht="15" hidden="false" customHeight="false" outlineLevel="0" collapsed="false">
      <c r="A8" s="17" t="s">
        <v>38</v>
      </c>
      <c r="B8" s="17" t="s">
        <v>75</v>
      </c>
      <c r="C8" s="17" t="n">
        <v>1</v>
      </c>
      <c r="D8" s="17" t="s">
        <v>76</v>
      </c>
      <c r="E8" s="17" t="n">
        <v>1743</v>
      </c>
      <c r="F8" s="17" t="n">
        <v>1081</v>
      </c>
      <c r="G8" s="17" t="n">
        <v>662</v>
      </c>
      <c r="H8" s="18" t="n">
        <f aca="false">G8/E8</f>
        <v>0.379804934021802</v>
      </c>
      <c r="I8" s="18" t="n">
        <f aca="false">(F8+$B$1)/(SUMIFS($F$4:$F$46,$A$4:$A$46,$A8)+$B$1*COUNTIFS($A$4:$A$46,$A8))</f>
        <v>0.603684063633826</v>
      </c>
      <c r="J8" s="18" t="n">
        <f aca="false">(G8+$B$1)/(SUMIFS($G$4:$G$46,$A$4:$A$46,$A8)+$B$1*COUNTIFS($A$4:$A$46,$A8))</f>
        <v>0.751559841179807</v>
      </c>
      <c r="K8" s="19" t="n">
        <f aca="false">LN(I8/J8)</f>
        <v>-0.219099847374347</v>
      </c>
      <c r="L8" s="19" t="n">
        <f aca="false">(I8-J8)*K8</f>
        <v>0.0323995602906873</v>
      </c>
    </row>
    <row r="9" customFormat="false" ht="15" hidden="false" customHeight="false" outlineLevel="0" collapsed="false">
      <c r="A9" s="6" t="s">
        <v>38</v>
      </c>
      <c r="B9" s="6" t="s">
        <v>75</v>
      </c>
      <c r="C9" s="6" t="n">
        <v>2</v>
      </c>
      <c r="D9" s="6" t="s">
        <v>77</v>
      </c>
      <c r="E9" s="6" t="n">
        <v>83</v>
      </c>
      <c r="F9" s="6" t="n">
        <v>54</v>
      </c>
      <c r="G9" s="6" t="n">
        <v>29</v>
      </c>
      <c r="H9" s="15" t="n">
        <f aca="false">G9/E9</f>
        <v>0.349397590361446</v>
      </c>
      <c r="I9" s="15" t="n">
        <f aca="false">(F9+$B$1)/(SUMIFS($F$4:$F$46,$A$4:$A$46,$A9)+$B$1*COUNTIFS($A$4:$A$46,$A9))</f>
        <v>0.0304214345520514</v>
      </c>
      <c r="J9" s="15" t="n">
        <f aca="false">(G9+$B$1)/(SUMIFS($G$4:$G$46,$A$4:$A$46,$A9)+$B$1*COUNTIFS($A$4:$A$46,$A9))</f>
        <v>0.0334656834940442</v>
      </c>
      <c r="K9" s="16" t="n">
        <f aca="false">LN(I9/J9)</f>
        <v>-0.0953730965836595</v>
      </c>
      <c r="L9" s="16" t="n">
        <f aca="false">(I9-J9)*K9</f>
        <v>0.000290339448369391</v>
      </c>
    </row>
    <row r="10" customFormat="false" ht="15" hidden="false" customHeight="false" outlineLevel="0" collapsed="false">
      <c r="A10" s="6" t="s">
        <v>38</v>
      </c>
      <c r="B10" s="6" t="s">
        <v>75</v>
      </c>
      <c r="C10" s="6" t="n">
        <v>3</v>
      </c>
      <c r="D10" s="6" t="s">
        <v>78</v>
      </c>
      <c r="E10" s="6" t="n">
        <v>299</v>
      </c>
      <c r="F10" s="6" t="n">
        <v>223</v>
      </c>
      <c r="G10" s="6" t="n">
        <v>76</v>
      </c>
      <c r="H10" s="15" t="n">
        <f aca="false">G10/E10</f>
        <v>0.254180602006689</v>
      </c>
      <c r="I10" s="15" t="n">
        <f aca="false">(F10+$B$1)/(SUMIFS($F$4:$F$46,$A$4:$A$46,$A10)+$B$1*COUNTIFS($A$4:$A$46,$A10))</f>
        <v>0.124755791236394</v>
      </c>
      <c r="J10" s="15" t="n">
        <f aca="false">(G10+$B$1)/(SUMIFS($G$4:$G$46,$A$4:$A$46,$A10)+$B$1*COUNTIFS($A$4:$A$46,$A10))</f>
        <v>0.0867838910947249</v>
      </c>
      <c r="K10" s="16" t="n">
        <f aca="false">LN(I10/J10)</f>
        <v>0.36293713831405</v>
      </c>
      <c r="L10" s="16" t="n">
        <f aca="false">(I10-J10)*K10</f>
        <v>0.0137814127737643</v>
      </c>
    </row>
    <row r="11" customFormat="false" ht="15" hidden="false" customHeight="false" outlineLevel="0" collapsed="false">
      <c r="A11" s="6" t="s">
        <v>38</v>
      </c>
      <c r="B11" s="6" t="s">
        <v>75</v>
      </c>
      <c r="C11" s="6" t="n">
        <v>4</v>
      </c>
      <c r="D11" s="6" t="s">
        <v>79</v>
      </c>
      <c r="E11" s="6" t="n">
        <v>229</v>
      </c>
      <c r="F11" s="6" t="n">
        <v>174</v>
      </c>
      <c r="G11" s="6" t="n">
        <v>55</v>
      </c>
      <c r="H11" s="15" t="n">
        <f aca="false">G11/E11</f>
        <v>0.240174672489083</v>
      </c>
      <c r="I11" s="15" t="n">
        <f aca="false">(F11+$B$1)/(SUMIFS($F$4:$F$46,$A$4:$A$46,$A11)+$B$1*COUNTIFS($A$4:$A$46,$A11))</f>
        <v>0.0974044097125314</v>
      </c>
      <c r="J11" s="15" t="n">
        <f aca="false">(G11+$B$1)/(SUMIFS($G$4:$G$46,$A$4:$A$46,$A11)+$B$1*COUNTIFS($A$4:$A$46,$A11))</f>
        <v>0.0629608621667612</v>
      </c>
      <c r="K11" s="16" t="n">
        <f aca="false">LN(I11/J11)</f>
        <v>0.436358185983009</v>
      </c>
      <c r="L11" s="16" t="n">
        <f aca="false">(I11-J11)*K11</f>
        <v>0.0150297239258918</v>
      </c>
    </row>
    <row r="12" customFormat="false" ht="15" hidden="false" customHeight="false" outlineLevel="0" collapsed="false">
      <c r="A12" s="6" t="s">
        <v>38</v>
      </c>
      <c r="B12" s="6" t="s">
        <v>75</v>
      </c>
      <c r="C12" s="6" t="n">
        <v>5</v>
      </c>
      <c r="D12" s="6" t="s">
        <v>80</v>
      </c>
      <c r="E12" s="6" t="n">
        <v>93</v>
      </c>
      <c r="F12" s="6" t="n">
        <v>73</v>
      </c>
      <c r="G12" s="6" t="n">
        <v>20</v>
      </c>
      <c r="H12" s="15" t="n">
        <f aca="false">G12/E12</f>
        <v>0.21505376344086</v>
      </c>
      <c r="I12" s="15" t="n">
        <f aca="false">(F12+$B$1)/(SUMIFS($F$4:$F$46,$A$4:$A$46,$A12)+$B$1*COUNTIFS($A$4:$A$46,$A12))</f>
        <v>0.041027072285794</v>
      </c>
      <c r="J12" s="15" t="n">
        <f aca="false">(G12+$B$1)/(SUMIFS($G$4:$G$46,$A$4:$A$46,$A12)+$B$1*COUNTIFS($A$4:$A$46,$A12))</f>
        <v>0.0232558139534884</v>
      </c>
      <c r="K12" s="16" t="n">
        <f aca="false">LN(I12/J12)</f>
        <v>0.567676985167345</v>
      </c>
      <c r="L12" s="16" t="n">
        <f aca="false">(I12-J12)*K12</f>
        <v>0.0100883343527133</v>
      </c>
    </row>
    <row r="13" customFormat="false" ht="15" hidden="false" customHeight="false" outlineLevel="0" collapsed="false">
      <c r="A13" s="6" t="s">
        <v>38</v>
      </c>
      <c r="B13" s="6" t="s">
        <v>75</v>
      </c>
      <c r="C13" s="6" t="n">
        <v>6</v>
      </c>
      <c r="D13" s="6" t="s">
        <v>81</v>
      </c>
      <c r="E13" s="6" t="n">
        <v>149</v>
      </c>
      <c r="F13" s="6" t="n">
        <v>124</v>
      </c>
      <c r="G13" s="6" t="n">
        <v>25</v>
      </c>
      <c r="H13" s="15" t="n">
        <f aca="false">G13/E13</f>
        <v>0.167785234899329</v>
      </c>
      <c r="I13" s="15" t="n">
        <f aca="false">(F13+$B$1)/(SUMIFS($F$4:$F$46,$A$4:$A$46,$A13)+$B$1*COUNTIFS($A$4:$A$46,$A13))</f>
        <v>0.0694948367289981</v>
      </c>
      <c r="J13" s="15" t="n">
        <f aca="false">(G13+$B$1)/(SUMIFS($G$4:$G$46,$A$4:$A$46,$A13)+$B$1*COUNTIFS($A$4:$A$46,$A13))</f>
        <v>0.0289279636982416</v>
      </c>
      <c r="K13" s="16" t="n">
        <f aca="false">LN(I13/J13)</f>
        <v>0.876443728833298</v>
      </c>
      <c r="L13" s="16" t="n">
        <f aca="false">(I13-J13)*K13</f>
        <v>0.0355545814661831</v>
      </c>
    </row>
    <row r="14" customFormat="false" ht="15" hidden="false" customHeight="false" outlineLevel="0" collapsed="false">
      <c r="A14" s="6" t="s">
        <v>38</v>
      </c>
      <c r="B14" s="6" t="s">
        <v>75</v>
      </c>
      <c r="C14" s="6" t="n">
        <v>7</v>
      </c>
      <c r="D14" s="6" t="s">
        <v>82</v>
      </c>
      <c r="E14" s="6" t="n">
        <v>70</v>
      </c>
      <c r="F14" s="6" t="n">
        <v>59</v>
      </c>
      <c r="G14" s="6" t="n">
        <v>11</v>
      </c>
      <c r="H14" s="15" t="n">
        <f aca="false">G14/E14</f>
        <v>0.157142857142857</v>
      </c>
      <c r="I14" s="15" t="n">
        <f aca="false">(F14+$B$1)/(SUMIFS($F$4:$F$46,$A$4:$A$46,$A14)+$B$1*COUNTIFS($A$4:$A$46,$A14))</f>
        <v>0.0332123918504047</v>
      </c>
      <c r="J14" s="15" t="n">
        <f aca="false">(G14+$B$1)/(SUMIFS($G$4:$G$46,$A$4:$A$46,$A14)+$B$1*COUNTIFS($A$4:$A$46,$A14))</f>
        <v>0.0130459444129325</v>
      </c>
      <c r="K14" s="16" t="n">
        <f aca="false">LN(I14/J14)</f>
        <v>0.934445742275296</v>
      </c>
      <c r="L14" s="16" t="n">
        <f aca="false">(I14-J14)*K14</f>
        <v>0.0188444509447645</v>
      </c>
    </row>
    <row r="15" customFormat="false" ht="15" hidden="false" customHeight="false" outlineLevel="0" collapsed="false">
      <c r="A15" s="17" t="s">
        <v>41</v>
      </c>
      <c r="B15" s="17" t="s">
        <v>70</v>
      </c>
      <c r="C15" s="17" t="n">
        <v>1</v>
      </c>
      <c r="D15" s="17" t="s">
        <v>83</v>
      </c>
      <c r="E15" s="17" t="n">
        <v>540</v>
      </c>
      <c r="F15" s="17" t="n">
        <v>303</v>
      </c>
      <c r="G15" s="17" t="n">
        <v>237</v>
      </c>
      <c r="H15" s="18" t="n">
        <f aca="false">G15/E15</f>
        <v>0.438888888888889</v>
      </c>
      <c r="I15" s="18" t="n">
        <f aca="false">(F15+$B$1)/(SUMIFS($F$4:$F$46,$A$4:$A$46,$A15)+$B$1*COUNTIFS($A$4:$A$46,$A15))</f>
        <v>0.169505724657917</v>
      </c>
      <c r="J15" s="18" t="n">
        <f aca="false">(G15+$B$1)/(SUMIFS($G$4:$G$46,$A$4:$A$46,$A15)+$B$1*COUNTIFS($A$4:$A$46,$A15))</f>
        <v>0.269733106189665</v>
      </c>
      <c r="K15" s="19" t="n">
        <f aca="false">LN(I15/J15)</f>
        <v>-0.46454627447737</v>
      </c>
      <c r="L15" s="19" t="n">
        <f aca="false">(I15-J15)*K15</f>
        <v>0.0465602566911955</v>
      </c>
    </row>
    <row r="16" customFormat="false" ht="15" hidden="false" customHeight="false" outlineLevel="0" collapsed="false">
      <c r="A16" s="6" t="s">
        <v>41</v>
      </c>
      <c r="B16" s="6" t="s">
        <v>70</v>
      </c>
      <c r="C16" s="6" t="n">
        <v>2</v>
      </c>
      <c r="D16" s="6" t="s">
        <v>84</v>
      </c>
      <c r="E16" s="6" t="n">
        <v>530</v>
      </c>
      <c r="F16" s="6" t="n">
        <v>348</v>
      </c>
      <c r="G16" s="6" t="n">
        <v>182</v>
      </c>
      <c r="H16" s="15" t="n">
        <f aca="false">G16/E16</f>
        <v>0.343396226415094</v>
      </c>
      <c r="I16" s="15" t="n">
        <f aca="false">(F16+$B$1)/(SUMIFS($F$4:$F$46,$A$4:$A$46,$A16)+$B$1*COUNTIFS($A$4:$A$46,$A16))</f>
        <v>0.194638369170623</v>
      </c>
      <c r="J16" s="15" t="n">
        <f aca="false">(G16+$B$1)/(SUMIFS($G$4:$G$46,$A$4:$A$46,$A16)+$B$1*COUNTIFS($A$4:$A$46,$A16))</f>
        <v>0.207268597387848</v>
      </c>
      <c r="K16" s="16" t="n">
        <f aca="false">LN(I16/J16)</f>
        <v>-0.0628722043241941</v>
      </c>
      <c r="L16" s="16" t="n">
        <f aca="false">(I16-J16)*K16</f>
        <v>0.000794090289134576</v>
      </c>
    </row>
    <row r="17" customFormat="false" ht="15" hidden="false" customHeight="false" outlineLevel="0" collapsed="false">
      <c r="A17" s="6" t="s">
        <v>41</v>
      </c>
      <c r="B17" s="6" t="s">
        <v>70</v>
      </c>
      <c r="C17" s="6" t="n">
        <v>3</v>
      </c>
      <c r="D17" s="6" t="s">
        <v>85</v>
      </c>
      <c r="E17" s="6" t="n">
        <v>541</v>
      </c>
      <c r="F17" s="6" t="n">
        <v>359</v>
      </c>
      <c r="G17" s="6" t="n">
        <v>182</v>
      </c>
      <c r="H17" s="15" t="n">
        <f aca="false">G17/E17</f>
        <v>0.33641404805915</v>
      </c>
      <c r="I17" s="15" t="n">
        <f aca="false">(F17+$B$1)/(SUMIFS($F$4:$F$46,$A$4:$A$46,$A17)+$B$1*COUNTIFS($A$4:$A$46,$A17))</f>
        <v>0.200781904495951</v>
      </c>
      <c r="J17" s="15" t="n">
        <f aca="false">(G17+$B$1)/(SUMIFS($G$4:$G$46,$A$4:$A$46,$A17)+$B$1*COUNTIFS($A$4:$A$46,$A17))</f>
        <v>0.207268597387848</v>
      </c>
      <c r="K17" s="16" t="n">
        <f aca="false">LN(I17/J17)</f>
        <v>-0.0317962573636713</v>
      </c>
      <c r="L17" s="16" t="n">
        <f aca="false">(I17-J17)*K17</f>
        <v>0.000206252556629853</v>
      </c>
    </row>
    <row r="18" customFormat="false" ht="15" hidden="false" customHeight="false" outlineLevel="0" collapsed="false">
      <c r="A18" s="6" t="s">
        <v>41</v>
      </c>
      <c r="B18" s="6" t="s">
        <v>70</v>
      </c>
      <c r="C18" s="6" t="n">
        <v>4</v>
      </c>
      <c r="D18" s="6" t="s">
        <v>86</v>
      </c>
      <c r="E18" s="6" t="n">
        <v>522</v>
      </c>
      <c r="F18" s="6" t="n">
        <v>385</v>
      </c>
      <c r="G18" s="6" t="n">
        <v>137</v>
      </c>
      <c r="H18" s="15" t="n">
        <f aca="false">G18/E18</f>
        <v>0.262452107279694</v>
      </c>
      <c r="I18" s="15" t="n">
        <f aca="false">(F18+$B$1)/(SUMIFS($F$4:$F$46,$A$4:$A$46,$A18)+$B$1*COUNTIFS($A$4:$A$46,$A18))</f>
        <v>0.215302987992181</v>
      </c>
      <c r="J18" s="15" t="n">
        <f aca="false">(G18+$B$1)/(SUMIFS($G$4:$G$46,$A$4:$A$46,$A18)+$B$1*COUNTIFS($A$4:$A$46,$A18))</f>
        <v>0.156161272004543</v>
      </c>
      <c r="K18" s="16" t="n">
        <f aca="false">LN(I18/J18)</f>
        <v>0.321157014394532</v>
      </c>
      <c r="L18" s="16" t="n">
        <f aca="false">(I18-J18)*K18</f>
        <v>0.0189937769327592</v>
      </c>
    </row>
    <row r="19" customFormat="false" ht="15" hidden="false" customHeight="false" outlineLevel="0" collapsed="false">
      <c r="A19" s="6" t="s">
        <v>41</v>
      </c>
      <c r="B19" s="6" t="s">
        <v>70</v>
      </c>
      <c r="C19" s="6" t="n">
        <v>5</v>
      </c>
      <c r="D19" s="6" t="s">
        <v>87</v>
      </c>
      <c r="E19" s="6" t="n">
        <v>533</v>
      </c>
      <c r="F19" s="6" t="n">
        <v>393</v>
      </c>
      <c r="G19" s="6" t="n">
        <v>140</v>
      </c>
      <c r="H19" s="15" t="n">
        <f aca="false">G19/E19</f>
        <v>0.26266416510319</v>
      </c>
      <c r="I19" s="15" t="n">
        <f aca="false">(F19+$B$1)/(SUMIFS($F$4:$F$46,$A$4:$A$46,$A19)+$B$1*COUNTIFS($A$4:$A$46,$A19))</f>
        <v>0.219771013683329</v>
      </c>
      <c r="J19" s="15" t="n">
        <f aca="false">(G19+$B$1)/(SUMIFS($G$4:$G$46,$A$4:$A$46,$A19)+$B$1*COUNTIFS($A$4:$A$46,$A19))</f>
        <v>0.159568427030097</v>
      </c>
      <c r="K19" s="16" t="n">
        <f aca="false">LN(I19/J19)</f>
        <v>0.320113317581431</v>
      </c>
      <c r="L19" s="16" t="n">
        <f aca="false">(I19-J19)*K19</f>
        <v>0.0192716497405497</v>
      </c>
    </row>
    <row r="20" customFormat="false" ht="15" hidden="false" customHeight="false" outlineLevel="0" collapsed="false">
      <c r="A20" s="17" t="s">
        <v>43</v>
      </c>
      <c r="B20" s="17" t="s">
        <v>70</v>
      </c>
      <c r="C20" s="17" t="n">
        <v>1</v>
      </c>
      <c r="D20" s="17" t="s">
        <v>88</v>
      </c>
      <c r="E20" s="17" t="n">
        <v>754</v>
      </c>
      <c r="F20" s="17" t="n">
        <v>520</v>
      </c>
      <c r="G20" s="17" t="n">
        <v>234</v>
      </c>
      <c r="H20" s="18" t="n">
        <f aca="false">G20/E20</f>
        <v>0.310344827586207</v>
      </c>
      <c r="I20" s="18" t="n">
        <f aca="false">(F20+$B$1)/(SUMIFS($F$4:$F$46,$A$4:$A$46,$A20)+$B$1*COUNTIFS($A$4:$A$46,$A20))</f>
        <v>0.290700921530299</v>
      </c>
      <c r="J20" s="18" t="n">
        <f aca="false">(G20+$B$1)/(SUMIFS($G$4:$G$46,$A$4:$A$46,$A20)+$B$1*COUNTIFS($A$4:$A$46,$A20))</f>
        <v>0.266325951164111</v>
      </c>
      <c r="K20" s="19" t="n">
        <f aca="false">LN(I20/J20)</f>
        <v>0.087574038666463</v>
      </c>
      <c r="L20" s="19" t="n">
        <f aca="false">(I20-J20)*K20</f>
        <v>0.00213461459734239</v>
      </c>
    </row>
    <row r="21" customFormat="false" ht="15" hidden="false" customHeight="false" outlineLevel="0" collapsed="false">
      <c r="A21" s="6" t="s">
        <v>43</v>
      </c>
      <c r="B21" s="6" t="s">
        <v>70</v>
      </c>
      <c r="C21" s="6" t="n">
        <v>2</v>
      </c>
      <c r="D21" s="6" t="s">
        <v>89</v>
      </c>
      <c r="E21" s="6" t="n">
        <v>318</v>
      </c>
      <c r="F21" s="6" t="n">
        <v>235</v>
      </c>
      <c r="G21" s="6" t="n">
        <v>83</v>
      </c>
      <c r="H21" s="15" t="n">
        <f aca="false">G21/E21</f>
        <v>0.261006289308176</v>
      </c>
      <c r="I21" s="15" t="n">
        <f aca="false">(F21+$B$1)/(SUMIFS($F$4:$F$46,$A$4:$A$46,$A21)+$B$1*COUNTIFS($A$4:$A$46,$A21))</f>
        <v>0.131527506283161</v>
      </c>
      <c r="J21" s="15" t="n">
        <f aca="false">(G21+$B$1)/(SUMIFS($G$4:$G$46,$A$4:$A$46,$A21)+$B$1*COUNTIFS($A$4:$A$46,$A21))</f>
        <v>0.094832481544577</v>
      </c>
      <c r="K21" s="16" t="n">
        <f aca="false">LN(I21/J21)</f>
        <v>0.327104020097436</v>
      </c>
      <c r="L21" s="16" t="n">
        <f aca="false">(I21-J21)*K21</f>
        <v>0.0120030901095657</v>
      </c>
    </row>
    <row r="22" customFormat="false" ht="15" hidden="false" customHeight="false" outlineLevel="0" collapsed="false">
      <c r="A22" s="6" t="s">
        <v>43</v>
      </c>
      <c r="B22" s="6" t="s">
        <v>70</v>
      </c>
      <c r="C22" s="6" t="n">
        <v>3</v>
      </c>
      <c r="D22" s="6" t="s">
        <v>90</v>
      </c>
      <c r="E22" s="6" t="n">
        <v>768</v>
      </c>
      <c r="F22" s="6" t="n">
        <v>538</v>
      </c>
      <c r="G22" s="6" t="n">
        <v>230</v>
      </c>
      <c r="H22" s="15" t="n">
        <f aca="false">G22/E22</f>
        <v>0.299479166666667</v>
      </c>
      <c r="I22" s="15" t="n">
        <f aca="false">(F22+$B$1)/(SUMIFS($F$4:$F$46,$A$4:$A$46,$A22)+$B$1*COUNTIFS($A$4:$A$46,$A22))</f>
        <v>0.300753979335381</v>
      </c>
      <c r="J22" s="15" t="n">
        <f aca="false">(G22+$B$1)/(SUMIFS($G$4:$G$46,$A$4:$A$46,$A22)+$B$1*COUNTIFS($A$4:$A$46,$A22))</f>
        <v>0.261783077796706</v>
      </c>
      <c r="K22" s="16" t="n">
        <f aca="false">LN(I22/J22)</f>
        <v>0.138776372657513</v>
      </c>
      <c r="L22" s="16" t="n">
        <f aca="false">(I22-J22)*K22</f>
        <v>0.00540824035473039</v>
      </c>
    </row>
    <row r="23" customFormat="false" ht="15" hidden="false" customHeight="false" outlineLevel="0" collapsed="false">
      <c r="A23" s="6" t="s">
        <v>43</v>
      </c>
      <c r="B23" s="6" t="s">
        <v>70</v>
      </c>
      <c r="C23" s="6" t="n">
        <v>4</v>
      </c>
      <c r="D23" s="6" t="s">
        <v>91</v>
      </c>
      <c r="E23" s="6" t="n">
        <v>425</v>
      </c>
      <c r="F23" s="6" t="n">
        <v>274</v>
      </c>
      <c r="G23" s="6" t="n">
        <v>151</v>
      </c>
      <c r="H23" s="15" t="n">
        <f aca="false">G23/E23</f>
        <v>0.355294117647059</v>
      </c>
      <c r="I23" s="15" t="n">
        <f aca="false">(F23+$B$1)/(SUMIFS($F$4:$F$46,$A$4:$A$46,$A23)+$B$1*COUNTIFS($A$4:$A$46,$A23))</f>
        <v>0.153309131527506</v>
      </c>
      <c r="J23" s="15" t="n">
        <f aca="false">(G23+$B$1)/(SUMIFS($G$4:$G$46,$A$4:$A$46,$A23)+$B$1*COUNTIFS($A$4:$A$46,$A23))</f>
        <v>0.17206132879046</v>
      </c>
      <c r="K23" s="16" t="n">
        <f aca="false">LN(I23/J23)</f>
        <v>-0.115394625502065</v>
      </c>
      <c r="L23" s="16" t="n">
        <f aca="false">(I23-J23)*K23</f>
        <v>0.00216390278049939</v>
      </c>
    </row>
    <row r="24" customFormat="false" ht="15" hidden="false" customHeight="false" outlineLevel="0" collapsed="false">
      <c r="A24" s="6" t="s">
        <v>43</v>
      </c>
      <c r="B24" s="6" t="s">
        <v>70</v>
      </c>
      <c r="C24" s="6" t="n">
        <v>5</v>
      </c>
      <c r="D24" s="6" t="s">
        <v>92</v>
      </c>
      <c r="E24" s="6" t="n">
        <v>401</v>
      </c>
      <c r="F24" s="6" t="n">
        <v>221</v>
      </c>
      <c r="G24" s="6" t="n">
        <v>180</v>
      </c>
      <c r="H24" s="15" t="n">
        <f aca="false">G24/E24</f>
        <v>0.448877805486284</v>
      </c>
      <c r="I24" s="15" t="n">
        <f aca="false">(F24+$B$1)/(SUMIFS($F$4:$F$46,$A$4:$A$46,$A24)+$B$1*COUNTIFS($A$4:$A$46,$A24))</f>
        <v>0.123708461323653</v>
      </c>
      <c r="J24" s="15" t="n">
        <f aca="false">(G24+$B$1)/(SUMIFS($G$4:$G$46,$A$4:$A$46,$A24)+$B$1*COUNTIFS($A$4:$A$46,$A24))</f>
        <v>0.204997160704145</v>
      </c>
      <c r="K24" s="16" t="n">
        <f aca="false">LN(I24/J24)</f>
        <v>-0.505068449789972</v>
      </c>
      <c r="L24" s="16" t="n">
        <f aca="false">(I24-J24)*K24</f>
        <v>0.0410563573815485</v>
      </c>
    </row>
    <row r="25" customFormat="false" ht="15" hidden="false" customHeight="false" outlineLevel="0" collapsed="false">
      <c r="A25" s="17" t="s">
        <v>46</v>
      </c>
      <c r="B25" s="17" t="s">
        <v>70</v>
      </c>
      <c r="C25" s="17" t="n">
        <v>1</v>
      </c>
      <c r="D25" s="17" t="s">
        <v>93</v>
      </c>
      <c r="E25" s="17" t="n">
        <v>534</v>
      </c>
      <c r="F25" s="17" t="n">
        <v>390</v>
      </c>
      <c r="G25" s="17" t="n">
        <v>144</v>
      </c>
      <c r="H25" s="18" t="n">
        <f aca="false">G25/E25</f>
        <v>0.269662921348315</v>
      </c>
      <c r="I25" s="18" t="n">
        <f aca="false">(F25+$B$1)/(SUMIFS($F$4:$F$46,$A$4:$A$46,$A25)+$B$1*COUNTIFS($A$4:$A$46,$A25))</f>
        <v>0.218095504049148</v>
      </c>
      <c r="J25" s="18" t="n">
        <f aca="false">(G25+$B$1)/(SUMIFS($G$4:$G$46,$A$4:$A$46,$A25)+$B$1*COUNTIFS($A$4:$A$46,$A25))</f>
        <v>0.164111300397501</v>
      </c>
      <c r="K25" s="19" t="n">
        <f aca="false">LN(I25/J25)</f>
        <v>0.284388200225027</v>
      </c>
      <c r="L25" s="19" t="n">
        <f aca="false">(I25-J25)*K25</f>
        <v>0.0153524705170732</v>
      </c>
    </row>
    <row r="26" customFormat="false" ht="15" hidden="false" customHeight="false" outlineLevel="0" collapsed="false">
      <c r="A26" s="6" t="s">
        <v>46</v>
      </c>
      <c r="B26" s="6" t="s">
        <v>70</v>
      </c>
      <c r="C26" s="6" t="n">
        <v>2</v>
      </c>
      <c r="D26" s="6" t="s">
        <v>94</v>
      </c>
      <c r="E26" s="6" t="n">
        <v>533</v>
      </c>
      <c r="F26" s="6" t="n">
        <v>366</v>
      </c>
      <c r="G26" s="6" t="n">
        <v>167</v>
      </c>
      <c r="H26" s="15" t="n">
        <f aca="false">G26/E26</f>
        <v>0.313320825515948</v>
      </c>
      <c r="I26" s="15" t="n">
        <f aca="false">(F26+$B$1)/(SUMIFS($F$4:$F$46,$A$4:$A$46,$A26)+$B$1*COUNTIFS($A$4:$A$46,$A26))</f>
        <v>0.204691426975705</v>
      </c>
      <c r="J26" s="15" t="n">
        <f aca="false">(G26+$B$1)/(SUMIFS($G$4:$G$46,$A$4:$A$46,$A26)+$B$1*COUNTIFS($A$4:$A$46,$A26))</f>
        <v>0.19023282226008</v>
      </c>
      <c r="K26" s="16" t="n">
        <f aca="false">LN(I26/J26)</f>
        <v>0.0732549085593584</v>
      </c>
      <c r="L26" s="16" t="n">
        <f aca="false">(I26-J26)*K26</f>
        <v>0.00105916376633906</v>
      </c>
    </row>
    <row r="27" customFormat="false" ht="15" hidden="false" customHeight="false" outlineLevel="0" collapsed="false">
      <c r="A27" s="6" t="s">
        <v>46</v>
      </c>
      <c r="B27" s="6" t="s">
        <v>70</v>
      </c>
      <c r="C27" s="6" t="n">
        <v>3</v>
      </c>
      <c r="D27" s="6" t="s">
        <v>95</v>
      </c>
      <c r="E27" s="6" t="n">
        <v>533</v>
      </c>
      <c r="F27" s="6" t="n">
        <v>359</v>
      </c>
      <c r="G27" s="6" t="n">
        <v>174</v>
      </c>
      <c r="H27" s="15" t="n">
        <f aca="false">G27/E27</f>
        <v>0.326454033771107</v>
      </c>
      <c r="I27" s="15" t="n">
        <f aca="false">(F27+$B$1)/(SUMIFS($F$4:$F$46,$A$4:$A$46,$A27)+$B$1*COUNTIFS($A$4:$A$46,$A27))</f>
        <v>0.200781904495951</v>
      </c>
      <c r="J27" s="15" t="n">
        <f aca="false">(G27+$B$1)/(SUMIFS($G$4:$G$46,$A$4:$A$46,$A27)+$B$1*COUNTIFS($A$4:$A$46,$A27))</f>
        <v>0.198182850653038</v>
      </c>
      <c r="K27" s="16" t="n">
        <f aca="false">LN(I27/J27)</f>
        <v>0.013029174016393</v>
      </c>
      <c r="L27" s="16" t="n">
        <f aca="false">(I27-J27)*K27</f>
        <v>3.38635247972859E-005</v>
      </c>
    </row>
    <row r="28" customFormat="false" ht="15" hidden="false" customHeight="false" outlineLevel="0" collapsed="false">
      <c r="A28" s="6" t="s">
        <v>46</v>
      </c>
      <c r="B28" s="6" t="s">
        <v>70</v>
      </c>
      <c r="C28" s="6" t="n">
        <v>4</v>
      </c>
      <c r="D28" s="6" t="s">
        <v>96</v>
      </c>
      <c r="E28" s="6" t="n">
        <v>533</v>
      </c>
      <c r="F28" s="6" t="n">
        <v>363</v>
      </c>
      <c r="G28" s="6" t="n">
        <v>170</v>
      </c>
      <c r="H28" s="15" t="n">
        <f aca="false">G28/E28</f>
        <v>0.318949343339587</v>
      </c>
      <c r="I28" s="15" t="n">
        <f aca="false">(F28+$B$1)/(SUMIFS($F$4:$F$46,$A$4:$A$46,$A28)+$B$1*COUNTIFS($A$4:$A$46,$A28))</f>
        <v>0.203015917341525</v>
      </c>
      <c r="J28" s="15" t="n">
        <f aca="false">(G28+$B$1)/(SUMIFS($G$4:$G$46,$A$4:$A$46,$A28)+$B$1*COUNTIFS($A$4:$A$46,$A28))</f>
        <v>0.193639977285633</v>
      </c>
      <c r="K28" s="16" t="n">
        <f aca="false">LN(I28/J28)</f>
        <v>0.047283738747776</v>
      </c>
      <c r="L28" s="16" t="n">
        <f aca="false">(I28-J28)*K28</f>
        <v>0.000443329500117584</v>
      </c>
    </row>
    <row r="29" customFormat="false" ht="15" hidden="false" customHeight="false" outlineLevel="0" collapsed="false">
      <c r="A29" s="6" t="s">
        <v>46</v>
      </c>
      <c r="B29" s="6" t="s">
        <v>70</v>
      </c>
      <c r="C29" s="6" t="n">
        <v>5</v>
      </c>
      <c r="D29" s="6" t="s">
        <v>97</v>
      </c>
      <c r="E29" s="6" t="n">
        <v>533</v>
      </c>
      <c r="F29" s="6" t="n">
        <v>310</v>
      </c>
      <c r="G29" s="6" t="n">
        <v>223</v>
      </c>
      <c r="H29" s="15" t="n">
        <f aca="false">G29/E29</f>
        <v>0.418386491557223</v>
      </c>
      <c r="I29" s="15" t="n">
        <f aca="false">(F29+$B$1)/(SUMIFS($F$4:$F$46,$A$4:$A$46,$A29)+$B$1*COUNTIFS($A$4:$A$46,$A29))</f>
        <v>0.173415247137671</v>
      </c>
      <c r="J29" s="15" t="n">
        <f aca="false">(G29+$B$1)/(SUMIFS($G$4:$G$46,$A$4:$A$46,$A29)+$B$1*COUNTIFS($A$4:$A$46,$A29))</f>
        <v>0.253833049403748</v>
      </c>
      <c r="K29" s="16" t="n">
        <f aca="false">LN(I29/J29)</f>
        <v>-0.380987774182317</v>
      </c>
      <c r="L29" s="16" t="n">
        <f aca="false">(I29-J29)*K29</f>
        <v>0.0306381994899863</v>
      </c>
    </row>
    <row r="30" customFormat="false" ht="15" hidden="false" customHeight="false" outlineLevel="0" collapsed="false">
      <c r="A30" s="17" t="s">
        <v>48</v>
      </c>
      <c r="B30" s="17" t="s">
        <v>70</v>
      </c>
      <c r="C30" s="17" t="n">
        <v>1</v>
      </c>
      <c r="D30" s="17" t="s">
        <v>98</v>
      </c>
      <c r="E30" s="17" t="n">
        <v>534</v>
      </c>
      <c r="F30" s="17" t="n">
        <v>373</v>
      </c>
      <c r="G30" s="17" t="n">
        <v>161</v>
      </c>
      <c r="H30" s="18" t="n">
        <f aca="false">G30/E30</f>
        <v>0.301498127340824</v>
      </c>
      <c r="I30" s="18" t="n">
        <f aca="false">(F30+$B$1)/(SUMIFS($F$4:$F$46,$A$4:$A$46,$A30)+$B$1*COUNTIFS($A$4:$A$46,$A30))</f>
        <v>0.208600949455459</v>
      </c>
      <c r="J30" s="18" t="n">
        <f aca="false">(G30+$B$1)/(SUMIFS($G$4:$G$46,$A$4:$A$46,$A30)+$B$1*COUNTIFS($A$4:$A$46,$A30))</f>
        <v>0.183418512208972</v>
      </c>
      <c r="K30" s="19" t="n">
        <f aca="false">LN(I30/J30)</f>
        <v>0.128652600407934</v>
      </c>
      <c r="L30" s="19" t="n">
        <f aca="false">(I30-J30)*K30</f>
        <v>0.0032397860363702</v>
      </c>
    </row>
    <row r="31" customFormat="false" ht="15" hidden="false" customHeight="false" outlineLevel="0" collapsed="false">
      <c r="A31" s="6" t="s">
        <v>48</v>
      </c>
      <c r="B31" s="6" t="s">
        <v>70</v>
      </c>
      <c r="C31" s="6" t="n">
        <v>2</v>
      </c>
      <c r="D31" s="6" t="s">
        <v>99</v>
      </c>
      <c r="E31" s="6" t="n">
        <v>533</v>
      </c>
      <c r="F31" s="6" t="n">
        <v>377</v>
      </c>
      <c r="G31" s="6" t="n">
        <v>156</v>
      </c>
      <c r="H31" s="15" t="n">
        <f aca="false">G31/E31</f>
        <v>0.292682926829268</v>
      </c>
      <c r="I31" s="15" t="n">
        <f aca="false">(F31+$B$1)/(SUMIFS($F$4:$F$46,$A$4:$A$46,$A31)+$B$1*COUNTIFS($A$4:$A$46,$A31))</f>
        <v>0.210834962301033</v>
      </c>
      <c r="J31" s="15" t="n">
        <f aca="false">(G31+$B$1)/(SUMIFS($G$4:$G$46,$A$4:$A$46,$A31)+$B$1*COUNTIFS($A$4:$A$46,$A31))</f>
        <v>0.177739920499716</v>
      </c>
      <c r="K31" s="16" t="n">
        <f aca="false">LN(I31/J31)</f>
        <v>0.170754297206645</v>
      </c>
      <c r="L31" s="16" t="n">
        <f aca="false">(I31-J31)*K31</f>
        <v>0.00565112060380845</v>
      </c>
    </row>
    <row r="32" customFormat="false" ht="15" hidden="false" customHeight="false" outlineLevel="0" collapsed="false">
      <c r="A32" s="6" t="s">
        <v>48</v>
      </c>
      <c r="B32" s="6" t="s">
        <v>70</v>
      </c>
      <c r="C32" s="6" t="n">
        <v>3</v>
      </c>
      <c r="D32" s="6" t="s">
        <v>100</v>
      </c>
      <c r="E32" s="6" t="n">
        <v>533</v>
      </c>
      <c r="F32" s="6" t="n">
        <v>365</v>
      </c>
      <c r="G32" s="6" t="n">
        <v>168</v>
      </c>
      <c r="H32" s="15" t="n">
        <f aca="false">G32/E32</f>
        <v>0.315196998123827</v>
      </c>
      <c r="I32" s="15" t="n">
        <f aca="false">(F32+$B$1)/(SUMIFS($F$4:$F$46,$A$4:$A$46,$A32)+$B$1*COUNTIFS($A$4:$A$46,$A32))</f>
        <v>0.204132923764312</v>
      </c>
      <c r="J32" s="15" t="n">
        <f aca="false">(G32+$B$1)/(SUMIFS($G$4:$G$46,$A$4:$A$46,$A32)+$B$1*COUNTIFS($A$4:$A$46,$A32))</f>
        <v>0.191368540601931</v>
      </c>
      <c r="K32" s="16" t="n">
        <f aca="false">LN(I32/J32)</f>
        <v>0.0645702678951901</v>
      </c>
      <c r="L32" s="16" t="n">
        <f aca="false">(I32-J32)*K32</f>
        <v>0.000824199640311789</v>
      </c>
    </row>
    <row r="33" customFormat="false" ht="15" hidden="false" customHeight="false" outlineLevel="0" collapsed="false">
      <c r="A33" s="6" t="s">
        <v>48</v>
      </c>
      <c r="B33" s="6" t="s">
        <v>70</v>
      </c>
      <c r="C33" s="6" t="n">
        <v>4</v>
      </c>
      <c r="D33" s="6" t="s">
        <v>101</v>
      </c>
      <c r="E33" s="6" t="n">
        <v>533</v>
      </c>
      <c r="F33" s="6" t="n">
        <v>352</v>
      </c>
      <c r="G33" s="6" t="n">
        <v>181</v>
      </c>
      <c r="H33" s="15" t="n">
        <f aca="false">G33/E33</f>
        <v>0.339587242026266</v>
      </c>
      <c r="I33" s="15" t="n">
        <f aca="false">(F33+$B$1)/(SUMIFS($F$4:$F$46,$A$4:$A$46,$A33)+$B$1*COUNTIFS($A$4:$A$46,$A33))</f>
        <v>0.196872382016197</v>
      </c>
      <c r="J33" s="15" t="n">
        <f aca="false">(G33+$B$1)/(SUMIFS($G$4:$G$46,$A$4:$A$46,$A33)+$B$1*COUNTIFS($A$4:$A$46,$A33))</f>
        <v>0.206132879045997</v>
      </c>
      <c r="K33" s="16" t="n">
        <f aca="false">LN(I33/J33)</f>
        <v>-0.0459652929548087</v>
      </c>
      <c r="L33" s="16" t="n">
        <f aca="false">(I33-J33)*K33</f>
        <v>0.000425661458881893</v>
      </c>
    </row>
    <row r="34" customFormat="false" ht="15" hidden="false" customHeight="false" outlineLevel="0" collapsed="false">
      <c r="A34" s="6" t="s">
        <v>48</v>
      </c>
      <c r="B34" s="6" t="s">
        <v>70</v>
      </c>
      <c r="C34" s="6" t="n">
        <v>5</v>
      </c>
      <c r="D34" s="6" t="s">
        <v>102</v>
      </c>
      <c r="E34" s="6" t="n">
        <v>533</v>
      </c>
      <c r="F34" s="6" t="n">
        <v>321</v>
      </c>
      <c r="G34" s="6" t="n">
        <v>212</v>
      </c>
      <c r="H34" s="15" t="n">
        <f aca="false">G34/E34</f>
        <v>0.397748592870544</v>
      </c>
      <c r="I34" s="15" t="n">
        <f aca="false">(F34+$B$1)/(SUMIFS($F$4:$F$46,$A$4:$A$46,$A34)+$B$1*COUNTIFS($A$4:$A$46,$A34))</f>
        <v>0.179558782462999</v>
      </c>
      <c r="J34" s="15" t="n">
        <f aca="false">(G34+$B$1)/(SUMIFS($G$4:$G$46,$A$4:$A$46,$A34)+$B$1*COUNTIFS($A$4:$A$46,$A34))</f>
        <v>0.241340147643384</v>
      </c>
      <c r="K34" s="16" t="n">
        <f aca="false">LN(I34/J34)</f>
        <v>-0.295704706189024</v>
      </c>
      <c r="L34" s="16" t="n">
        <f aca="false">(I34-J34)*K34</f>
        <v>0.0182690404386226</v>
      </c>
    </row>
    <row r="35" customFormat="false" ht="15" hidden="false" customHeight="false" outlineLevel="0" collapsed="false">
      <c r="A35" s="17" t="s">
        <v>50</v>
      </c>
      <c r="B35" s="17" t="s">
        <v>70</v>
      </c>
      <c r="C35" s="17" t="n">
        <v>1</v>
      </c>
      <c r="D35" s="17" t="s">
        <v>103</v>
      </c>
      <c r="E35" s="17" t="n">
        <v>1075</v>
      </c>
      <c r="F35" s="17" t="n">
        <v>759</v>
      </c>
      <c r="G35" s="17" t="n">
        <v>316</v>
      </c>
      <c r="H35" s="18" t="n">
        <f aca="false">G35/E35</f>
        <v>0.293953488372093</v>
      </c>
      <c r="I35" s="18" t="n">
        <f aca="false">(F35+$B$1)/(SUMIFS($F$4:$F$46,$A$4:$A$46,$A35)+$B$1*COUNTIFS($A$4:$A$46,$A35))</f>
        <v>0.424301675977654</v>
      </c>
      <c r="J35" s="18" t="n">
        <f aca="false">(G35+$B$1)/(SUMIFS($G$4:$G$46,$A$4:$A$46,$A35)+$B$1*COUNTIFS($A$4:$A$46,$A35))</f>
        <v>0.359659090909091</v>
      </c>
      <c r="K35" s="19" t="n">
        <f aca="false">LN(I35/J35)</f>
        <v>0.165288089089048</v>
      </c>
      <c r="L35" s="19" t="n">
        <f aca="false">(I35-J35)*K35</f>
        <v>0.010684649359759</v>
      </c>
    </row>
    <row r="36" customFormat="false" ht="15" hidden="false" customHeight="false" outlineLevel="0" collapsed="false">
      <c r="A36" s="6" t="s">
        <v>50</v>
      </c>
      <c r="B36" s="6" t="s">
        <v>70</v>
      </c>
      <c r="C36" s="6" t="n">
        <v>2</v>
      </c>
      <c r="D36" s="6" t="s">
        <v>104</v>
      </c>
      <c r="E36" s="6" t="n">
        <v>525</v>
      </c>
      <c r="F36" s="6" t="n">
        <v>340</v>
      </c>
      <c r="G36" s="6" t="n">
        <v>185</v>
      </c>
      <c r="H36" s="15" t="n">
        <f aca="false">G36/E36</f>
        <v>0.352380952380952</v>
      </c>
      <c r="I36" s="15" t="n">
        <f aca="false">(F36+$B$1)/(SUMIFS($F$4:$F$46,$A$4:$A$46,$A36)+$B$1*COUNTIFS($A$4:$A$46,$A36))</f>
        <v>0.190223463687151</v>
      </c>
      <c r="J36" s="15" t="n">
        <f aca="false">(G36+$B$1)/(SUMIFS($G$4:$G$46,$A$4:$A$46,$A36)+$B$1*COUNTIFS($A$4:$A$46,$A36))</f>
        <v>0.210795454545455</v>
      </c>
      <c r="K36" s="16" t="n">
        <f aca="false">LN(I36/J36)</f>
        <v>-0.102688747820471</v>
      </c>
      <c r="L36" s="16" t="n">
        <f aca="false">(I36-J36)*K36</f>
        <v>0.00211251198141339</v>
      </c>
    </row>
    <row r="37" customFormat="false" ht="15" hidden="false" customHeight="false" outlineLevel="0" collapsed="false">
      <c r="A37" s="6" t="s">
        <v>50</v>
      </c>
      <c r="B37" s="6" t="s">
        <v>70</v>
      </c>
      <c r="C37" s="6" t="n">
        <v>3</v>
      </c>
      <c r="D37" s="6" t="s">
        <v>105</v>
      </c>
      <c r="E37" s="6" t="n">
        <v>533</v>
      </c>
      <c r="F37" s="6" t="n">
        <v>360</v>
      </c>
      <c r="G37" s="6" t="n">
        <v>173</v>
      </c>
      <c r="H37" s="15" t="n">
        <f aca="false">G37/E37</f>
        <v>0.324577861163227</v>
      </c>
      <c r="I37" s="15" t="n">
        <f aca="false">(F37+$B$1)/(SUMIFS($F$4:$F$46,$A$4:$A$46,$A37)+$B$1*COUNTIFS($A$4:$A$46,$A37))</f>
        <v>0.201396648044693</v>
      </c>
      <c r="J37" s="15" t="n">
        <f aca="false">(G37+$B$1)/(SUMIFS($G$4:$G$46,$A$4:$A$46,$A37)+$B$1*COUNTIFS($A$4:$A$46,$A37))</f>
        <v>0.197159090909091</v>
      </c>
      <c r="K37" s="16" t="n">
        <f aca="false">LN(I37/J37)</f>
        <v>0.0212653659755412</v>
      </c>
      <c r="L37" s="16" t="n">
        <f aca="false">(I37-J37)*K37</f>
        <v>9.01132033308387E-005</v>
      </c>
    </row>
    <row r="38" customFormat="false" ht="15" hidden="false" customHeight="false" outlineLevel="0" collapsed="false">
      <c r="A38" s="6" t="s">
        <v>50</v>
      </c>
      <c r="B38" s="6" t="s">
        <v>70</v>
      </c>
      <c r="C38" s="6" t="n">
        <v>4</v>
      </c>
      <c r="D38" s="6" t="s">
        <v>106</v>
      </c>
      <c r="E38" s="6" t="n">
        <v>533</v>
      </c>
      <c r="F38" s="6" t="n">
        <v>329</v>
      </c>
      <c r="G38" s="6" t="n">
        <v>204</v>
      </c>
      <c r="H38" s="15" t="n">
        <f aca="false">G38/E38</f>
        <v>0.382739212007505</v>
      </c>
      <c r="I38" s="15" t="n">
        <f aca="false">(F38+$B$1)/(SUMIFS($F$4:$F$46,$A$4:$A$46,$A38)+$B$1*COUNTIFS($A$4:$A$46,$A38))</f>
        <v>0.184078212290503</v>
      </c>
      <c r="J38" s="15" t="n">
        <f aca="false">(G38+$B$1)/(SUMIFS($G$4:$G$46,$A$4:$A$46,$A38)+$B$1*COUNTIFS($A$4:$A$46,$A38))</f>
        <v>0.232386363636364</v>
      </c>
      <c r="K38" s="16" t="n">
        <f aca="false">LN(I38/J38)</f>
        <v>-0.233040612902843</v>
      </c>
      <c r="L38" s="16" t="n">
        <f aca="false">(I38-J38)*K38</f>
        <v>0.0112577611978427</v>
      </c>
    </row>
    <row r="39" customFormat="false" ht="15" hidden="false" customHeight="false" outlineLevel="0" collapsed="false">
      <c r="A39" s="17" t="s">
        <v>52</v>
      </c>
      <c r="B39" s="17" t="s">
        <v>70</v>
      </c>
      <c r="C39" s="17" t="n">
        <v>1</v>
      </c>
      <c r="D39" s="17" t="s">
        <v>107</v>
      </c>
      <c r="E39" s="17" t="n">
        <v>584</v>
      </c>
      <c r="F39" s="17" t="n">
        <v>380</v>
      </c>
      <c r="G39" s="17" t="n">
        <v>204</v>
      </c>
      <c r="H39" s="18" t="n">
        <f aca="false">G39/E39</f>
        <v>0.349315068493151</v>
      </c>
      <c r="I39" s="18" t="n">
        <f aca="false">(F39+$B$1)/(SUMIFS($F$4:$F$46,$A$4:$A$46,$A39)+$B$1*COUNTIFS($A$4:$A$46,$A39))</f>
        <v>0.212510471935214</v>
      </c>
      <c r="J39" s="18" t="n">
        <f aca="false">(G39+$B$1)/(SUMIFS($G$4:$G$46,$A$4:$A$46,$A39)+$B$1*COUNTIFS($A$4:$A$46,$A39))</f>
        <v>0.232254400908575</v>
      </c>
      <c r="K39" s="19" t="n">
        <f aca="false">LN(I39/J39)</f>
        <v>-0.0888420596833424</v>
      </c>
      <c r="L39" s="19" t="n">
        <f aca="false">(I39-J39)*K39</f>
        <v>0.00175409131623501</v>
      </c>
    </row>
    <row r="40" customFormat="false" ht="15" hidden="false" customHeight="false" outlineLevel="0" collapsed="false">
      <c r="A40" s="6" t="s">
        <v>52</v>
      </c>
      <c r="B40" s="6" t="s">
        <v>70</v>
      </c>
      <c r="C40" s="6" t="n">
        <v>2</v>
      </c>
      <c r="D40" s="6" t="s">
        <v>108</v>
      </c>
      <c r="E40" s="6" t="n">
        <v>542</v>
      </c>
      <c r="F40" s="6" t="n">
        <v>386</v>
      </c>
      <c r="G40" s="6" t="n">
        <v>156</v>
      </c>
      <c r="H40" s="15" t="n">
        <f aca="false">G40/E40</f>
        <v>0.287822878228782</v>
      </c>
      <c r="I40" s="15" t="n">
        <f aca="false">(F40+$B$1)/(SUMIFS($F$4:$F$46,$A$4:$A$46,$A40)+$B$1*COUNTIFS($A$4:$A$46,$A40))</f>
        <v>0.215861491203574</v>
      </c>
      <c r="J40" s="15" t="n">
        <f aca="false">(G40+$B$1)/(SUMIFS($G$4:$G$46,$A$4:$A$46,$A40)+$B$1*COUNTIFS($A$4:$A$46,$A40))</f>
        <v>0.177739920499716</v>
      </c>
      <c r="K40" s="16" t="n">
        <f aca="false">LN(I40/J40)</f>
        <v>0.194315596545042</v>
      </c>
      <c r="L40" s="16" t="n">
        <f aca="false">(I40-J40)*K40</f>
        <v>0.00740761575255424</v>
      </c>
    </row>
    <row r="41" customFormat="false" ht="15" hidden="false" customHeight="false" outlineLevel="0" collapsed="false">
      <c r="A41" s="6" t="s">
        <v>52</v>
      </c>
      <c r="B41" s="6" t="s">
        <v>70</v>
      </c>
      <c r="C41" s="6" t="n">
        <v>3</v>
      </c>
      <c r="D41" s="6" t="s">
        <v>109</v>
      </c>
      <c r="E41" s="6" t="n">
        <v>474</v>
      </c>
      <c r="F41" s="6" t="n">
        <v>334</v>
      </c>
      <c r="G41" s="6" t="n">
        <v>140</v>
      </c>
      <c r="H41" s="15" t="n">
        <f aca="false">G41/E41</f>
        <v>0.29535864978903</v>
      </c>
      <c r="I41" s="15" t="n">
        <f aca="false">(F41+$B$1)/(SUMIFS($F$4:$F$46,$A$4:$A$46,$A41)+$B$1*COUNTIFS($A$4:$A$46,$A41))</f>
        <v>0.186819324211114</v>
      </c>
      <c r="J41" s="15" t="n">
        <f aca="false">(G41+$B$1)/(SUMIFS($G$4:$G$46,$A$4:$A$46,$A41)+$B$1*COUNTIFS($A$4:$A$46,$A41))</f>
        <v>0.159568427030097</v>
      </c>
      <c r="K41" s="16" t="n">
        <f aca="false">LN(I41/J41)</f>
        <v>0.157669129292256</v>
      </c>
      <c r="L41" s="16" t="n">
        <f aca="false">(I41-J41)*K41</f>
        <v>0.00429662523096385</v>
      </c>
    </row>
    <row r="42" customFormat="false" ht="15" hidden="false" customHeight="false" outlineLevel="0" collapsed="false">
      <c r="A42" s="6" t="s">
        <v>52</v>
      </c>
      <c r="B42" s="6" t="s">
        <v>70</v>
      </c>
      <c r="C42" s="6" t="n">
        <v>4</v>
      </c>
      <c r="D42" s="6" t="s">
        <v>110</v>
      </c>
      <c r="E42" s="6" t="n">
        <v>539</v>
      </c>
      <c r="F42" s="6" t="n">
        <v>361</v>
      </c>
      <c r="G42" s="6" t="n">
        <v>178</v>
      </c>
      <c r="H42" s="15" t="n">
        <f aca="false">G42/E42</f>
        <v>0.330241187384045</v>
      </c>
      <c r="I42" s="15" t="n">
        <f aca="false">(F42+$B$1)/(SUMIFS($F$4:$F$46,$A$4:$A$46,$A42)+$B$1*COUNTIFS($A$4:$A$46,$A42))</f>
        <v>0.201898910918738</v>
      </c>
      <c r="J42" s="15" t="n">
        <f aca="false">(G42+$B$1)/(SUMIFS($G$4:$G$46,$A$4:$A$46,$A42)+$B$1*COUNTIFS($A$4:$A$46,$A42))</f>
        <v>0.202725724020443</v>
      </c>
      <c r="K42" s="16" t="n">
        <f aca="false">LN(I42/J42)</f>
        <v>-0.00408682112310086</v>
      </c>
      <c r="L42" s="16" t="n">
        <f aca="false">(I42-J42)*K42</f>
        <v>3.37903724890505E-006</v>
      </c>
    </row>
    <row r="43" customFormat="false" ht="15" hidden="false" customHeight="false" outlineLevel="0" collapsed="false">
      <c r="A43" s="6" t="s">
        <v>52</v>
      </c>
      <c r="B43" s="6" t="s">
        <v>70</v>
      </c>
      <c r="C43" s="6" t="n">
        <v>5</v>
      </c>
      <c r="D43" s="6" t="s">
        <v>111</v>
      </c>
      <c r="E43" s="6" t="n">
        <v>527</v>
      </c>
      <c r="F43" s="6" t="n">
        <v>327</v>
      </c>
      <c r="G43" s="6" t="n">
        <v>200</v>
      </c>
      <c r="H43" s="15" t="n">
        <f aca="false">G43/E43</f>
        <v>0.379506641366224</v>
      </c>
      <c r="I43" s="15" t="n">
        <f aca="false">(F43+$B$1)/(SUMIFS($F$4:$F$46,$A$4:$A$46,$A43)+$B$1*COUNTIFS($A$4:$A$46,$A43))</f>
        <v>0.18290980173136</v>
      </c>
      <c r="J43" s="15" t="n">
        <f aca="false">(G43+$B$1)/(SUMIFS($G$4:$G$46,$A$4:$A$46,$A43)+$B$1*COUNTIFS($A$4:$A$46,$A43))</f>
        <v>0.22771152754117</v>
      </c>
      <c r="K43" s="16" t="n">
        <f aca="false">LN(I43/J43)</f>
        <v>-0.219086453173544</v>
      </c>
      <c r="L43" s="16" t="n">
        <f aca="false">(I43-J43)*K43</f>
        <v>0.00981545120372486</v>
      </c>
    </row>
    <row r="44" customFormat="false" ht="15" hidden="false" customHeight="false" outlineLevel="0" collapsed="false">
      <c r="A44" s="17" t="s">
        <v>55</v>
      </c>
      <c r="B44" s="17" t="s">
        <v>70</v>
      </c>
      <c r="C44" s="17" t="n">
        <v>1</v>
      </c>
      <c r="D44" s="17" t="s">
        <v>88</v>
      </c>
      <c r="E44" s="17" t="n">
        <v>651</v>
      </c>
      <c r="F44" s="17" t="n">
        <v>446</v>
      </c>
      <c r="G44" s="17" t="n">
        <v>205</v>
      </c>
      <c r="H44" s="18" t="n">
        <f aca="false">G44/E44</f>
        <v>0.314900153609831</v>
      </c>
      <c r="I44" s="18" t="n">
        <f aca="false">(F44+$B$1)/(SUMIFS($F$4:$F$46,$A$4:$A$46,$A44)+$B$1*COUNTIFS($A$4:$A$46,$A44))</f>
        <v>0.249511036602403</v>
      </c>
      <c r="J44" s="18" t="n">
        <f aca="false">(G44+$B$1)/(SUMIFS($G$4:$G$46,$A$4:$A$46,$A44)+$B$1*COUNTIFS($A$4:$A$46,$A44))</f>
        <v>0.233655486071632</v>
      </c>
      <c r="K44" s="19" t="n">
        <f aca="false">LN(I44/J44)</f>
        <v>0.0656554003517967</v>
      </c>
      <c r="L44" s="19" t="n">
        <f aca="false">(I44-J44)*K44</f>
        <v>0.00104100251789593</v>
      </c>
    </row>
    <row r="45" customFormat="false" ht="15" hidden="false" customHeight="false" outlineLevel="0" collapsed="false">
      <c r="A45" s="6" t="s">
        <v>55</v>
      </c>
      <c r="B45" s="6" t="s">
        <v>70</v>
      </c>
      <c r="C45" s="6" t="n">
        <v>2</v>
      </c>
      <c r="D45" s="6" t="s">
        <v>89</v>
      </c>
      <c r="E45" s="6" t="n">
        <v>557</v>
      </c>
      <c r="F45" s="6" t="n">
        <v>380</v>
      </c>
      <c r="G45" s="6" t="n">
        <v>177</v>
      </c>
      <c r="H45" s="15" t="n">
        <f aca="false">G45/E45</f>
        <v>0.317773788150808</v>
      </c>
      <c r="I45" s="15" t="n">
        <f aca="false">(F45+$B$1)/(SUMIFS($F$4:$F$46,$A$4:$A$46,$A45)+$B$1*COUNTIFS($A$4:$A$46,$A45))</f>
        <v>0.212629226040794</v>
      </c>
      <c r="J45" s="15" t="n">
        <f aca="false">(G45+$B$1)/(SUMIFS($G$4:$G$46,$A$4:$A$46,$A45)+$B$1*COUNTIFS($A$4:$A$46,$A45))</f>
        <v>0.201819215463331</v>
      </c>
      <c r="K45" s="16" t="n">
        <f aca="false">LN(I45/J45)</f>
        <v>0.0521776023578024</v>
      </c>
      <c r="L45" s="16" t="n">
        <f aca="false">(I45-J45)*K45</f>
        <v>0.000564040433394455</v>
      </c>
    </row>
    <row r="46" customFormat="false" ht="15" hidden="false" customHeight="false" outlineLevel="0" collapsed="false">
      <c r="A46" s="6" t="s">
        <v>55</v>
      </c>
      <c r="B46" s="6" t="s">
        <v>70</v>
      </c>
      <c r="C46" s="6" t="n">
        <v>3</v>
      </c>
      <c r="D46" s="6" t="s">
        <v>112</v>
      </c>
      <c r="E46" s="6" t="n">
        <v>1458</v>
      </c>
      <c r="F46" s="6" t="n">
        <v>962</v>
      </c>
      <c r="G46" s="6" t="n">
        <v>496</v>
      </c>
      <c r="H46" s="15" t="n">
        <f aca="false">G46/E46</f>
        <v>0.340192043895748</v>
      </c>
      <c r="I46" s="15" t="n">
        <f aca="false">(F46+$B$1)/(SUMIFS($F$4:$F$46,$A$4:$A$46,$A46)+$B$1*COUNTIFS($A$4:$A$46,$A46))</f>
        <v>0.537859737356804</v>
      </c>
      <c r="J46" s="15" t="n">
        <f aca="false">(G46+$B$1)/(SUMIFS($G$4:$G$46,$A$4:$A$46,$A46)+$B$1*COUNTIFS($A$4:$A$46,$A46))</f>
        <v>0.564525298465037</v>
      </c>
      <c r="K46" s="16" t="n">
        <f aca="false">LN(I46/J46)</f>
        <v>-0.0483873833517556</v>
      </c>
      <c r="L46" s="16" t="n">
        <f aca="false">(I46-J46)*K46</f>
        <v>0.00129027672763375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0"/>
    <col collapsed="false" customWidth="true" hidden="false" outlineLevel="0" max="3" min="3" style="0" width="16"/>
    <col collapsed="false" customWidth="true" hidden="false" outlineLevel="0" max="6" min="4" style="0" width="11"/>
  </cols>
  <sheetData>
    <row r="1" customFormat="false" ht="17.35" hidden="false" customHeight="false" outlineLevel="0" collapsed="false">
      <c r="A1" s="1" t="s">
        <v>113</v>
      </c>
    </row>
    <row r="2" customFormat="false" ht="15" hidden="false" customHeight="false" outlineLevel="0" collapsed="false">
      <c r="A2" s="2" t="s">
        <v>114</v>
      </c>
    </row>
    <row r="4" customFormat="false" ht="15" hidden="false" customHeight="false" outlineLevel="0" collapsed="false">
      <c r="A4" s="8" t="s">
        <v>115</v>
      </c>
      <c r="B4" s="8" t="s">
        <v>116</v>
      </c>
      <c r="C4" s="8" t="s">
        <v>117</v>
      </c>
      <c r="D4" s="8" t="s">
        <v>118</v>
      </c>
      <c r="E4" s="8" t="s">
        <v>119</v>
      </c>
      <c r="F4" s="8" t="s">
        <v>65</v>
      </c>
    </row>
    <row r="5" customFormat="false" ht="15" hidden="false" customHeight="false" outlineLevel="0" collapsed="false">
      <c r="A5" s="6" t="s">
        <v>120</v>
      </c>
      <c r="B5" s="6" t="n">
        <v>2666</v>
      </c>
      <c r="C5" s="6" t="n">
        <v>575</v>
      </c>
      <c r="D5" s="6" t="n">
        <v>8</v>
      </c>
      <c r="E5" s="6" t="n">
        <v>878</v>
      </c>
      <c r="F5" s="15" t="n">
        <f aca="false">E5/B5</f>
        <v>0.329332333083271</v>
      </c>
    </row>
    <row r="6" customFormat="false" ht="15" hidden="false" customHeight="false" outlineLevel="0" collapsed="false">
      <c r="A6" s="6" t="s">
        <v>121</v>
      </c>
      <c r="B6" s="6" t="n">
        <v>1856</v>
      </c>
      <c r="C6" s="6" t="n">
        <v>626</v>
      </c>
      <c r="D6" s="6" t="n">
        <v>4</v>
      </c>
      <c r="E6" s="6" t="n">
        <v>374</v>
      </c>
      <c r="F6" s="15" t="n">
        <f aca="false">E6/B6</f>
        <v>0.201508620689655</v>
      </c>
    </row>
    <row r="7" customFormat="false" ht="15" hidden="false" customHeight="false" outlineLevel="0" collapsed="false">
      <c r="A7" s="13" t="s">
        <v>122</v>
      </c>
      <c r="B7" s="13" t="n">
        <f aca="false">SUM(B5:B6)</f>
        <v>4522</v>
      </c>
      <c r="E7" s="13" t="n">
        <f aca="false">SUM(E5:E6)</f>
        <v>1252</v>
      </c>
      <c r="F7" s="20" t="n">
        <f aca="false">E7/B7</f>
        <v>0.27686864219372</v>
      </c>
    </row>
    <row r="8" customFormat="false" ht="15" hidden="false" customHeight="false" outlineLevel="0" collapsed="false">
      <c r="A8" s="2" t="s">
        <v>123</v>
      </c>
    </row>
    <row r="11" customFormat="false" ht="15" hidden="false" customHeight="false" outlineLevel="0" collapsed="false">
      <c r="A11" s="3" t="s">
        <v>124</v>
      </c>
    </row>
    <row r="12" customFormat="false" ht="15" hidden="false" customHeight="false" outlineLevel="0" collapsed="false">
      <c r="A12" s="2" t="s">
        <v>125</v>
      </c>
    </row>
    <row r="14" customFormat="false" ht="15" hidden="false" customHeight="false" outlineLevel="0" collapsed="false">
      <c r="A14" s="21" t="s">
        <v>126</v>
      </c>
      <c r="B14" s="21" t="s">
        <v>115</v>
      </c>
      <c r="C14" s="21" t="s">
        <v>116</v>
      </c>
      <c r="D14" s="21" t="s">
        <v>119</v>
      </c>
      <c r="E14" s="21" t="s">
        <v>65</v>
      </c>
    </row>
    <row r="15" customFormat="false" ht="15" hidden="false" customHeight="false" outlineLevel="0" collapsed="false">
      <c r="A15" s="6" t="s">
        <v>127</v>
      </c>
      <c r="B15" s="6" t="s">
        <v>120</v>
      </c>
      <c r="C15" s="6" t="n">
        <v>241</v>
      </c>
      <c r="D15" s="6" t="n">
        <v>19</v>
      </c>
      <c r="E15" s="15" t="n">
        <f aca="false">D15/C15</f>
        <v>0.0788381742738589</v>
      </c>
    </row>
    <row r="16" customFormat="false" ht="15" hidden="false" customHeight="false" outlineLevel="0" collapsed="false">
      <c r="A16" s="6" t="s">
        <v>128</v>
      </c>
      <c r="B16" s="6" t="s">
        <v>120</v>
      </c>
      <c r="C16" s="6" t="n">
        <v>267</v>
      </c>
      <c r="D16" s="6" t="n">
        <v>29</v>
      </c>
      <c r="E16" s="15" t="n">
        <f aca="false">D16/C16</f>
        <v>0.108614232209738</v>
      </c>
    </row>
    <row r="17" customFormat="false" ht="15" hidden="false" customHeight="false" outlineLevel="0" collapsed="false">
      <c r="A17" s="6" t="s">
        <v>129</v>
      </c>
      <c r="B17" s="6" t="s">
        <v>120</v>
      </c>
      <c r="C17" s="6" t="n">
        <v>296</v>
      </c>
      <c r="D17" s="6" t="n">
        <v>71</v>
      </c>
      <c r="E17" s="15" t="n">
        <f aca="false">D17/C17</f>
        <v>0.239864864864865</v>
      </c>
    </row>
    <row r="18" customFormat="false" ht="15" hidden="false" customHeight="false" outlineLevel="0" collapsed="false">
      <c r="A18" s="6" t="s">
        <v>130</v>
      </c>
      <c r="B18" s="6" t="s">
        <v>120</v>
      </c>
      <c r="C18" s="6" t="n">
        <v>314</v>
      </c>
      <c r="D18" s="6" t="n">
        <v>93</v>
      </c>
      <c r="E18" s="15" t="n">
        <f aca="false">D18/C18</f>
        <v>0.296178343949045</v>
      </c>
    </row>
    <row r="19" customFormat="false" ht="15" hidden="false" customHeight="false" outlineLevel="0" collapsed="false">
      <c r="A19" s="6" t="s">
        <v>131</v>
      </c>
      <c r="B19" s="6" t="s">
        <v>120</v>
      </c>
      <c r="C19" s="6" t="n">
        <v>326</v>
      </c>
      <c r="D19" s="6" t="n">
        <v>101</v>
      </c>
      <c r="E19" s="15" t="n">
        <f aca="false">D19/C19</f>
        <v>0.309815950920245</v>
      </c>
    </row>
    <row r="20" customFormat="false" ht="15" hidden="false" customHeight="false" outlineLevel="0" collapsed="false">
      <c r="A20" s="6" t="s">
        <v>132</v>
      </c>
      <c r="B20" s="6" t="s">
        <v>120</v>
      </c>
      <c r="C20" s="6" t="n">
        <v>374</v>
      </c>
      <c r="D20" s="6" t="n">
        <v>132</v>
      </c>
      <c r="E20" s="15" t="n">
        <f aca="false">D20/C20</f>
        <v>0.352941176470588</v>
      </c>
    </row>
    <row r="21" customFormat="false" ht="15" hidden="false" customHeight="false" outlineLevel="0" collapsed="false">
      <c r="A21" s="6" t="s">
        <v>133</v>
      </c>
      <c r="B21" s="6" t="s">
        <v>120</v>
      </c>
      <c r="C21" s="6" t="n">
        <v>403</v>
      </c>
      <c r="D21" s="6" t="n">
        <v>208</v>
      </c>
      <c r="E21" s="15" t="n">
        <f aca="false">D21/C21</f>
        <v>0.516129032258065</v>
      </c>
    </row>
    <row r="22" customFormat="false" ht="15" hidden="false" customHeight="false" outlineLevel="0" collapsed="false">
      <c r="A22" s="6" t="s">
        <v>134</v>
      </c>
      <c r="B22" s="6" t="s">
        <v>120</v>
      </c>
      <c r="C22" s="6" t="n">
        <v>445</v>
      </c>
      <c r="D22" s="6" t="n">
        <v>225</v>
      </c>
      <c r="E22" s="15" t="n">
        <f aca="false">D22/C22</f>
        <v>0.50561797752809</v>
      </c>
    </row>
    <row r="23" customFormat="false" ht="15" hidden="false" customHeight="false" outlineLevel="0" collapsed="false">
      <c r="A23" s="10" t="s">
        <v>135</v>
      </c>
      <c r="B23" s="10" t="s">
        <v>121</v>
      </c>
      <c r="C23" s="10" t="n">
        <v>466</v>
      </c>
      <c r="D23" s="10" t="n">
        <v>208</v>
      </c>
      <c r="E23" s="22" t="n">
        <f aca="false">D23/C23</f>
        <v>0.446351931330472</v>
      </c>
    </row>
    <row r="24" customFormat="false" ht="15" hidden="false" customHeight="false" outlineLevel="0" collapsed="false">
      <c r="A24" s="10" t="s">
        <v>136</v>
      </c>
      <c r="B24" s="10" t="s">
        <v>121</v>
      </c>
      <c r="C24" s="10" t="n">
        <v>454</v>
      </c>
      <c r="D24" s="10" t="n">
        <v>64</v>
      </c>
      <c r="E24" s="22" t="n">
        <f aca="false">D24/C24</f>
        <v>0.140969162995595</v>
      </c>
    </row>
    <row r="25" customFormat="false" ht="15" hidden="false" customHeight="false" outlineLevel="0" collapsed="false">
      <c r="A25" s="10" t="s">
        <v>137</v>
      </c>
      <c r="B25" s="10" t="s">
        <v>121</v>
      </c>
      <c r="C25" s="10" t="n">
        <v>477</v>
      </c>
      <c r="D25" s="10" t="n">
        <v>51</v>
      </c>
      <c r="E25" s="22" t="n">
        <f aca="false">D25/C25</f>
        <v>0.106918238993711</v>
      </c>
    </row>
    <row r="26" customFormat="false" ht="15" hidden="false" customHeight="false" outlineLevel="0" collapsed="false">
      <c r="A26" s="10" t="s">
        <v>138</v>
      </c>
      <c r="B26" s="10" t="s">
        <v>121</v>
      </c>
      <c r="C26" s="10" t="n">
        <v>459</v>
      </c>
      <c r="D26" s="10" t="n">
        <v>51</v>
      </c>
      <c r="E26" s="22" t="n">
        <f aca="false">D26/C26</f>
        <v>0.111111111111111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2026-10-04T04:39:49Z</dcterms:created>
  <dc:creator>openpyxl</dc:creator>
  <dc:description/>
  <dc:language>en-US</dc:language>
  <cp:lastModifiedBy/>
  <dcterms:modified xsi:type="dcterms:W3CDTF">2026-10-04T04:39:49Z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